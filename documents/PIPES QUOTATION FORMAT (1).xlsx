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OCUMENTS\ERP DEVELOPMENT\QUOTATION FORMAT\"/>
    </mc:Choice>
  </mc:AlternateContent>
  <bookViews>
    <workbookView xWindow="-120" yWindow="-120" windowWidth="29040" windowHeight="15720" firstSheet="1" activeTab="1"/>
  </bookViews>
  <sheets>
    <sheet name="Solapur_SS" sheetId="9" state="hidden" r:id="rId1"/>
    <sheet name="RFQ" sheetId="8" r:id="rId2"/>
    <sheet name="Solapur_CS &amp; T12" sheetId="7" state="hidden" r:id="rId3"/>
    <sheet name="Solapur_BOM" sheetId="6" state="hidden" r:id="rId4"/>
  </sheets>
  <definedNames>
    <definedName name="_xlnm._FilterDatabase" localSheetId="1" hidden="1">RFQ!$A$12:$P$15</definedName>
    <definedName name="Filter_Übergabe" localSheetId="1">#REF!</definedName>
    <definedName name="Filter_Übergabe" localSheetId="3">#REF!</definedName>
    <definedName name="Filter_Übergabe" localSheetId="2">#REF!</definedName>
    <definedName name="Filter_Übergabe" localSheetId="0">#REF!</definedName>
    <definedName name="Filter_Übergabe">#REF!</definedName>
    <definedName name="_xlnm.Print_Area" localSheetId="1">RFQ!$A$1:$P$47</definedName>
    <definedName name="_xlnm.Print_Area" localSheetId="3">Solapur_BOM!$A$1:$O$56</definedName>
    <definedName name="_xlnm.Print_Area" localSheetId="2">'Solapur_CS &amp; T12'!$A$1:$O$22</definedName>
    <definedName name="_xlnm.Print_Area" localSheetId="0">Solapur_SS!$A$1:$O$17</definedName>
    <definedName name="_xlnm.Print_Titles" localSheetId="1">RFQ!$2:$12</definedName>
    <definedName name="_xlnm.Print_Titles" localSheetId="3">Solapur_BOM!$1:$4</definedName>
    <definedName name="_xlnm.Print_Titles" localSheetId="2">'Solapur_CS &amp; T12'!$1:$4</definedName>
    <definedName name="_xlnm.Print_Titles" localSheetId="0">Solapur_SS!$1:$4</definedName>
    <definedName name="Standard" localSheetId="1">#REF!</definedName>
    <definedName name="Standard" localSheetId="3">#REF!</definedName>
    <definedName name="Standard" localSheetId="2">#REF!</definedName>
    <definedName name="Standard" localSheetId="0">#REF!</definedName>
    <definedName name="Standard">#REF!</definedName>
    <definedName name="TDC_No" localSheetId="1">#REF!</definedName>
    <definedName name="TDC_No" localSheetId="3">#REF!</definedName>
    <definedName name="TDC_No" localSheetId="2">#REF!</definedName>
    <definedName name="TDC_No" localSheetId="0">#REF!</definedName>
    <definedName name="TDC_No">#REF!</definedName>
    <definedName name="W_Z" localSheetId="1">#REF!</definedName>
    <definedName name="W_Z" localSheetId="3">#REF!</definedName>
    <definedName name="W_Z" localSheetId="2">#REF!</definedName>
    <definedName name="W_Z" localSheetId="0">#REF!</definedName>
    <definedName name="W_Z">#REF!</definedName>
    <definedName name="Werkstoff_Kennwort" localSheetId="1">#REF!</definedName>
    <definedName name="Werkstoff_Kennwort" localSheetId="3">#REF!</definedName>
    <definedName name="Werkstoff_Kennwort" localSheetId="2">#REF!</definedName>
    <definedName name="Werkstoff_Kennwort" localSheetId="0">#REF!</definedName>
    <definedName name="Werkstoff_Kennwort">#REF!</definedName>
    <definedName name="Werkstoffe" localSheetId="1">#REF!</definedName>
    <definedName name="Werkstoffe" localSheetId="3">#REF!</definedName>
    <definedName name="Werkstoffe" localSheetId="2">#REF!</definedName>
    <definedName name="Werkstoffe" localSheetId="0">#REF!</definedName>
    <definedName name="Werkstoffe">#REF!</definedName>
    <definedName name="ZN" localSheetId="1">#REF!</definedName>
    <definedName name="ZN" localSheetId="3">#REF!</definedName>
    <definedName name="ZN" localSheetId="2">#REF!</definedName>
    <definedName name="ZN" localSheetId="0">#REF!</definedName>
    <definedName name="ZN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8" l="1"/>
  <c r="N13" i="8"/>
  <c r="Q14" i="8"/>
  <c r="R14" i="8" s="1"/>
  <c r="Q13" i="8"/>
  <c r="R13" i="8" s="1"/>
  <c r="N15" i="8" l="1"/>
  <c r="L15" i="8" l="1"/>
  <c r="O56" i="6"/>
  <c r="M56" i="6"/>
  <c r="M49" i="6"/>
  <c r="M48" i="6"/>
  <c r="M47" i="6"/>
  <c r="M46" i="6"/>
  <c r="M43" i="6"/>
  <c r="M42" i="6"/>
  <c r="M39" i="6"/>
  <c r="M38" i="6"/>
  <c r="M37" i="6"/>
  <c r="M36" i="6"/>
  <c r="M35" i="6"/>
  <c r="O32" i="6"/>
  <c r="M32" i="6"/>
  <c r="L31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O22" i="7"/>
  <c r="M22" i="7"/>
  <c r="M19" i="7"/>
  <c r="M18" i="7"/>
  <c r="M17" i="7"/>
  <c r="M16" i="7"/>
  <c r="M15" i="7"/>
  <c r="O12" i="7"/>
  <c r="M12" i="7"/>
  <c r="L11" i="7"/>
  <c r="L10" i="7"/>
  <c r="L9" i="7"/>
  <c r="L8" i="7"/>
  <c r="L7" i="7"/>
  <c r="L6" i="7"/>
  <c r="O17" i="9"/>
  <c r="M17" i="9"/>
  <c r="O10" i="9"/>
  <c r="M10" i="9"/>
  <c r="L9" i="9"/>
  <c r="L8" i="9"/>
  <c r="L7" i="9"/>
  <c r="L6" i="9"/>
</calcChain>
</file>

<file path=xl/sharedStrings.xml><?xml version="1.0" encoding="utf-8"?>
<sst xmlns="http://schemas.openxmlformats.org/spreadsheetml/2006/main" count="588" uniqueCount="159">
  <si>
    <t xml:space="preserve">2x660MW NTPC Solapur Project
Mandatory Spares for Boiler Pressure Parts </t>
  </si>
  <si>
    <t>Price Schedule</t>
  </si>
  <si>
    <t>S.No</t>
  </si>
  <si>
    <t>Comp. Pos.</t>
  </si>
  <si>
    <t xml:space="preserve">Description  </t>
  </si>
  <si>
    <t>Item</t>
  </si>
  <si>
    <t xml:space="preserve">Material </t>
  </si>
  <si>
    <t>Dia.
mm</t>
  </si>
  <si>
    <t xml:space="preserve">DM-
type </t>
  </si>
  <si>
    <t>Wall 
thk. mm</t>
  </si>
  <si>
    <t xml:space="preserve">WT-
type </t>
  </si>
  <si>
    <t>Quantity</t>
  </si>
  <si>
    <t>Unit Rate per Meter</t>
  </si>
  <si>
    <t>Amount</t>
  </si>
  <si>
    <t>LENGTH of Individual Tube in Mtr.</t>
  </si>
  <si>
    <t>No. of Tubes required</t>
  </si>
  <si>
    <t>Total Length in Mtr.</t>
  </si>
  <si>
    <t>Total Weight
in MT</t>
  </si>
  <si>
    <t>Tubes for Fabrication</t>
  </si>
  <si>
    <t>Superheater 3 - Coil Bends, Dissimilar weld (Drawing Ref: N-100131-S-HA_-IG04-00079-AC Item : 99,100,102,103)</t>
  </si>
  <si>
    <t>Tube</t>
  </si>
  <si>
    <t>SA-213M UNS S30432</t>
  </si>
  <si>
    <t>OD</t>
  </si>
  <si>
    <t>MIN</t>
  </si>
  <si>
    <t>112,114,115</t>
  </si>
  <si>
    <t>Reheater 2 - Coil Bends, Dissimilar weld  (Drawing Ref: N-100131-S-HA_-IG04-00079-AC Item : 111,112,114,115)</t>
  </si>
  <si>
    <t>SA-213M UNS S30432-SP</t>
  </si>
  <si>
    <t>Loose Tubes - Direct Supply to Site</t>
  </si>
  <si>
    <t>Superheater 3 (Drawing Ref: N-100131-S-HA_-IG04-00079-AC)</t>
  </si>
  <si>
    <t>8-10m length</t>
  </si>
  <si>
    <t xml:space="preserve"> - </t>
  </si>
  <si>
    <t>Total</t>
  </si>
  <si>
    <t>Customer</t>
  </si>
  <si>
    <t>Date</t>
  </si>
  <si>
    <t>Contact</t>
  </si>
  <si>
    <t>Email</t>
  </si>
  <si>
    <t>Quotation Sheet</t>
  </si>
  <si>
    <t>S/N</t>
  </si>
  <si>
    <t>Product</t>
  </si>
  <si>
    <t>Material</t>
  </si>
  <si>
    <t>Schedule</t>
  </si>
  <si>
    <t>Unit weight Kg/Mtr</t>
  </si>
  <si>
    <t>1 to 12,18,19</t>
  </si>
  <si>
    <t>Eco 1 coils - Assembly &amp; Coil Bends (Drawing Ref: N-100131-S-HA_-IG04-00079-AC Item : 1 to 13,18,19)</t>
  </si>
  <si>
    <t>SA-210M Gr. C</t>
  </si>
  <si>
    <t>21 to 26,31,32</t>
  </si>
  <si>
    <t>Eco 2 coils - Assembly  &amp; Coil Bends (Drawing Ref: N-100131-S-HA_-IG04-00079-AC Item : 21 to 27,31,32)</t>
  </si>
  <si>
    <t>106,107</t>
  </si>
  <si>
    <t>Reheater 1 - Coil Bends (Drawing Ref: N-100131-S-HA_-IG04-00079-AC Item : 106,107)</t>
  </si>
  <si>
    <t>SA-213M T12</t>
  </si>
  <si>
    <t>1 to 20</t>
  </si>
  <si>
    <t>Burner Bend (Drawing Ref: N-100131-S-HA_-IG04-00081 Item : 1 to 20)</t>
  </si>
  <si>
    <t>Eco 1 coils (Drawing Ref: N-100131-S-HA_-IG04-00079-AC)</t>
  </si>
  <si>
    <t>Random Length</t>
  </si>
  <si>
    <t>Eco 2 coils (Drawing Ref: N-100131-S-HA_-IG04-00079-AC)</t>
  </si>
  <si>
    <t>Water wall/ Evaporator (Drawing Ref: N-100131-S-HA_-IG04-00079-AC)</t>
  </si>
  <si>
    <t>66,67,68</t>
  </si>
  <si>
    <t>Superheater 1(Platen) - Coil Bends (Drawing Ref: N-100131-S-HA_-IG04-00079-AC Item : 66 to 75)</t>
  </si>
  <si>
    <t>SA-213M T91</t>
  </si>
  <si>
    <t>69,70,71</t>
  </si>
  <si>
    <t>72,73</t>
  </si>
  <si>
    <t>74,75</t>
  </si>
  <si>
    <t>85,86</t>
  </si>
  <si>
    <t>Superheater 2 - Coil Bends (Drawing Ref: N-100131-S-HA_-IG04-00079-AC Item : 85 to 88)</t>
  </si>
  <si>
    <t>87,88</t>
  </si>
  <si>
    <t>Attemperator protection tube (Drawing Ref:N-100131-S-HA_-IG04-00080 Item : 141 to 148)</t>
  </si>
  <si>
    <t>Pipe</t>
  </si>
  <si>
    <t>SA-335M P22</t>
  </si>
  <si>
    <t>AV</t>
  </si>
  <si>
    <t>Plate</t>
  </si>
  <si>
    <t>SA-387M Gr22 CL2</t>
  </si>
  <si>
    <t>6 X 85 X 85</t>
  </si>
  <si>
    <t>2130 X 5000</t>
  </si>
  <si>
    <t>Random</t>
  </si>
  <si>
    <t>Superheater 1(Platen) (Drawing Ref: N-100131-S-HA_-IG04-00079-AC)</t>
  </si>
  <si>
    <t>Superheater 2 (Drawing Ref: N-100131-S-HA_-IG04-00079-AC)</t>
  </si>
  <si>
    <t>API 5L GR.B PSL-1</t>
    <phoneticPr fontId="20" type="noConversion"/>
  </si>
  <si>
    <t>Sch 40</t>
    <phoneticPr fontId="20" type="noConversion"/>
  </si>
  <si>
    <t>Quotation No.</t>
  </si>
  <si>
    <t>: (Name of the person preparing the offer)</t>
  </si>
  <si>
    <t>: (Buyer name)</t>
  </si>
  <si>
    <t>: (Buyer email id)</t>
  </si>
  <si>
    <t xml:space="preserve">Contact </t>
  </si>
  <si>
    <t>: (Buyer Contact No.)</t>
  </si>
  <si>
    <t>Attn.</t>
  </si>
  <si>
    <t>Designation</t>
  </si>
  <si>
    <t>: (Buyer Designation)</t>
  </si>
  <si>
    <t>: (email id of the person preparing the offer)</t>
  </si>
  <si>
    <t xml:space="preserve">Enquiry Reference </t>
  </si>
  <si>
    <t>: (Inquiry Date)</t>
  </si>
  <si>
    <t>: (Customer Name)</t>
  </si>
  <si>
    <t xml:space="preserve">  (Customer Address)</t>
  </si>
  <si>
    <t>: (Quotation Validity Date)</t>
  </si>
  <si>
    <t>Delivery</t>
  </si>
  <si>
    <t>Address</t>
  </si>
  <si>
    <t>Country</t>
  </si>
  <si>
    <t>C.S. SEAMLESS PIPE</t>
  </si>
  <si>
    <t>Remark/
Material Code</t>
  </si>
  <si>
    <t>Ends</t>
  </si>
  <si>
    <t>BE</t>
  </si>
  <si>
    <t>6-8 Weeks</t>
  </si>
  <si>
    <t>Delivery
(Ex-works)</t>
  </si>
  <si>
    <t>Price</t>
  </si>
  <si>
    <t>Payment</t>
  </si>
  <si>
    <t>Offer validity</t>
  </si>
  <si>
    <t>Packing</t>
  </si>
  <si>
    <t>Freight</t>
  </si>
  <si>
    <t>Insurance</t>
  </si>
  <si>
    <t>Certification</t>
  </si>
  <si>
    <t>T/T charges</t>
  </si>
  <si>
    <t>Third Party Inspection</t>
  </si>
  <si>
    <t>Testing Charges</t>
  </si>
  <si>
    <t>Material origin</t>
  </si>
  <si>
    <t>Qty. Tolerance</t>
  </si>
  <si>
    <t>Dimension Tolerance</t>
  </si>
  <si>
    <t>Part orders</t>
  </si>
  <si>
    <t>: Ex-work, Navi Mumbai, India/Jebel Ali, UAE</t>
  </si>
  <si>
    <t xml:space="preserve">: As above, ex-works, after receipt of PO </t>
  </si>
  <si>
    <t xml:space="preserve">: 100% within 30 Days from date of dispatch </t>
  </si>
  <si>
    <t>: 6 Days, subject to stock remain unsold</t>
  </si>
  <si>
    <t xml:space="preserve">: Inclusive </t>
  </si>
  <si>
    <t>: Extra at actual / To your account</t>
  </si>
  <si>
    <t>: EN 10204 3.1</t>
  </si>
  <si>
    <t>: To your account, Full Invoice amount to be remitted. No deduction of T/T charges acceptable.</t>
  </si>
  <si>
    <t>: If any required that all charges Extra At Actual</t>
  </si>
  <si>
    <t>: India/Canada</t>
  </si>
  <si>
    <t>: -0 / +1 Random Length</t>
  </si>
  <si>
    <t xml:space="preserve">: As per manufacture </t>
  </si>
  <si>
    <t>: Subject reconfirm with N-PIPE</t>
  </si>
  <si>
    <t>NOTES:</t>
  </si>
  <si>
    <t>OFFER TERMS:</t>
  </si>
  <si>
    <t xml:space="preserve">This is a computer generated document hence not signed.                                                                                                  </t>
  </si>
  <si>
    <t>YOUR ORDER WILL BE GREATLY APPRECIATED AND WILL RECEIVE OUR PROMPT AND CAREFUL ATTENTION.</t>
  </si>
  <si>
    <r>
      <rPr>
        <b/>
        <sz val="10"/>
        <rFont val="Calibri"/>
        <family val="2"/>
        <scheme val="minor"/>
      </rPr>
      <t>Regd. Address:</t>
    </r>
    <r>
      <rPr>
        <sz val="10"/>
        <rFont val="Calibri"/>
        <family val="2"/>
        <scheme val="minor"/>
      </rPr>
      <t xml:space="preserve"> 1210/1211, Prasad Chambers, Tata Road no. 2, Opera House, Charni Road (E), Mumbai - 400004, India. </t>
    </r>
    <r>
      <rPr>
        <b/>
        <sz val="10"/>
        <rFont val="Calibri"/>
        <family val="2"/>
        <scheme val="minor"/>
      </rPr>
      <t>Tel.</t>
    </r>
    <r>
      <rPr>
        <sz val="10"/>
        <rFont val="Calibri"/>
        <family val="2"/>
        <scheme val="minor"/>
      </rPr>
      <t xml:space="preserve"> +91 22 23634200/300 </t>
    </r>
    <r>
      <rPr>
        <b/>
        <sz val="10"/>
        <rFont val="Calibri"/>
        <family val="2"/>
        <scheme val="minor"/>
      </rPr>
      <t>Email:</t>
    </r>
    <r>
      <rPr>
        <sz val="10"/>
        <rFont val="Calibri"/>
        <family val="2"/>
        <scheme val="minor"/>
      </rPr>
      <t xml:space="preserve"> info@n-pipe.com, </t>
    </r>
    <r>
      <rPr>
        <b/>
        <sz val="10"/>
        <rFont val="Calibri"/>
        <family val="2"/>
        <scheme val="minor"/>
      </rPr>
      <t>Web:</t>
    </r>
    <r>
      <rPr>
        <sz val="10"/>
        <rFont val="Calibri"/>
        <family val="2"/>
        <scheme val="minor"/>
      </rPr>
      <t xml:space="preserve"> www.n-pipe.com</t>
    </r>
  </si>
  <si>
    <t>: (Uniquie Qut No.)</t>
  </si>
  <si>
    <t>: (Qut Date. DD/MM/YYYY)</t>
  </si>
  <si>
    <t>Valid upto</t>
  </si>
  <si>
    <t>Additional Spec.</t>
  </si>
  <si>
    <t>NACE MR0175/MR0103</t>
  </si>
  <si>
    <t>OD
(mm)</t>
  </si>
  <si>
    <t>W.T.
(mm)</t>
  </si>
  <si>
    <t>Unit Rate USD/Mtr</t>
  </si>
  <si>
    <t>Qty
(Mtr.)</t>
  </si>
  <si>
    <t>Amount
(USD.)</t>
  </si>
  <si>
    <t>Length 
(Mtr.)</t>
  </si>
  <si>
    <t>9.00 - 11.8</t>
  </si>
  <si>
    <t>1) Prices are subject to review if items are deleted or if quantities are changed.</t>
  </si>
  <si>
    <t>2) This quotation is subject to confirmation at the time of order placement.</t>
  </si>
  <si>
    <t>3) Invoicing shall be based on the actual quantity supplied at the agreed unit rate.</t>
  </si>
  <si>
    <t>4) Shipping date will be calculated based on the number of business days after receipt of the techno-commercial Purchase Order (PO).</t>
  </si>
  <si>
    <t>5) Supply shall be made as close as possible to the requested quantity in the fixed lengths indicated.</t>
  </si>
  <si>
    <t>6) Once an order is placed, it cannot be cancelled under any circumstances.</t>
  </si>
  <si>
    <t>8) Reduction in quantity after placement of order will not be accepted. Any increase in quantity will be subject to our acceptance.</t>
  </si>
  <si>
    <t>9) In case of any changes in Government duties, taxes, or policies, the rates are liable to revision.</t>
  </si>
  <si>
    <t>7) The quoted specification complies with the standard practice of the specification, without supplementary requirements (unless otherwise specifically stated in the offer).</t>
  </si>
  <si>
    <t>QTY 
M.Ton</t>
  </si>
  <si>
    <t>: (Client inquiry No.)</t>
  </si>
  <si>
    <t>FORMAT: QTN-Rev.2, Dated: 19/12/2012</t>
  </si>
  <si>
    <t>Size 
(NPS)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</si>
</sst>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0.000"/>
    <numFmt numFmtId="165" formatCode="_ * #,##0_ ;_ * \-#,##0_ ;_ * &quot;-&quot;??_ ;_ @_ "/>
    <numFmt numFmtId="166" formatCode="0.000_ "/>
    <numFmt numFmtId="167" formatCode="0.000_);[Red]\(0.000\)"/>
    <numFmt numFmtId="168" formatCode="0_ "/>
    <numFmt numFmtId="169" formatCode="0.0_ "/>
    <numFmt numFmtId="170" formatCode="0.00_);[Red]\(0.00\)"/>
    <numFmt numFmtId="171" formatCode="0.00_ "/>
    <numFmt numFmtId="172" formatCode="0_);[Red]\(0\)"/>
  </numFmts>
  <fonts count="32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sz val="11"/>
      <name val="Calibri"/>
      <family val="3"/>
      <charset val="134"/>
      <scheme val="minor"/>
    </font>
    <font>
      <b/>
      <sz val="14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sz val="16"/>
      <name val="Tahoma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81536301767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2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3" fontId="7" fillId="0" borderId="6" xfId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43" fontId="1" fillId="0" borderId="28" xfId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3" fontId="1" fillId="0" borderId="30" xfId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43" fontId="1" fillId="0" borderId="31" xfId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3" fontId="1" fillId="0" borderId="33" xfId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43" fontId="1" fillId="0" borderId="34" xfId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3" fontId="1" fillId="0" borderId="19" xfId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3" fontId="1" fillId="0" borderId="4" xfId="1" applyFont="1" applyFill="1" applyBorder="1" applyAlignment="1">
      <alignment horizontal="center" vertical="center" wrapText="1"/>
    </xf>
    <xf numFmtId="43" fontId="1" fillId="0" borderId="4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1" fillId="0" borderId="17" xfId="1" applyFont="1" applyFill="1" applyBorder="1" applyAlignment="1">
      <alignment horizontal="center" vertical="center" wrapText="1"/>
    </xf>
    <xf numFmtId="43" fontId="1" fillId="0" borderId="17" xfId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43" fontId="0" fillId="0" borderId="17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" fillId="0" borderId="6" xfId="1" applyFont="1" applyFill="1" applyBorder="1" applyAlignment="1">
      <alignment horizontal="center" vertical="center" wrapText="1"/>
    </xf>
    <xf numFmtId="43" fontId="1" fillId="0" borderId="6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3" fontId="1" fillId="0" borderId="37" xfId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165" fontId="1" fillId="0" borderId="21" xfId="1" applyNumberFormat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/>
    </xf>
    <xf numFmtId="43" fontId="6" fillId="0" borderId="9" xfId="1" applyFont="1" applyFill="1" applyBorder="1" applyAlignment="1">
      <alignment horizontal="center" vertical="center" wrapText="1"/>
    </xf>
    <xf numFmtId="43" fontId="6" fillId="0" borderId="10" xfId="1" applyFont="1" applyFill="1" applyBorder="1" applyAlignment="1">
      <alignment horizontal="center" vertical="center" wrapText="1"/>
    </xf>
    <xf numFmtId="43" fontId="6" fillId="0" borderId="28" xfId="1" applyFont="1" applyFill="1" applyBorder="1" applyAlignment="1">
      <alignment vertical="center" wrapText="1"/>
    </xf>
    <xf numFmtId="0" fontId="0" fillId="0" borderId="10" xfId="0" applyBorder="1"/>
    <xf numFmtId="0" fontId="0" fillId="0" borderId="29" xfId="0" applyBorder="1"/>
    <xf numFmtId="1" fontId="6" fillId="0" borderId="17" xfId="0" applyNumberFormat="1" applyFont="1" applyBorder="1" applyAlignment="1">
      <alignment horizontal="center" vertical="center" wrapText="1"/>
    </xf>
    <xf numFmtId="43" fontId="6" fillId="0" borderId="17" xfId="1" applyFont="1" applyFill="1" applyBorder="1" applyAlignment="1">
      <alignment horizontal="center" vertical="center" wrapText="1"/>
    </xf>
    <xf numFmtId="43" fontId="6" fillId="0" borderId="34" xfId="1" applyFont="1" applyFill="1" applyBorder="1" applyAlignment="1">
      <alignment vertical="center" wrapText="1"/>
    </xf>
    <xf numFmtId="0" fontId="0" fillId="0" borderId="17" xfId="0" applyBorder="1"/>
    <xf numFmtId="0" fontId="0" fillId="0" borderId="35" xfId="0" applyBorder="1"/>
    <xf numFmtId="1" fontId="6" fillId="0" borderId="14" xfId="0" applyNumberFormat="1" applyFont="1" applyBorder="1" applyAlignment="1">
      <alignment horizontal="center" vertical="center" wrapText="1"/>
    </xf>
    <xf numFmtId="43" fontId="6" fillId="0" borderId="14" xfId="1" applyFont="1" applyFill="1" applyBorder="1" applyAlignment="1">
      <alignment horizontal="center" vertical="center" wrapText="1"/>
    </xf>
    <xf numFmtId="43" fontId="6" fillId="0" borderId="31" xfId="1" applyFont="1" applyFill="1" applyBorder="1" applyAlignment="1">
      <alignment vertical="center" wrapText="1"/>
    </xf>
    <xf numFmtId="0" fontId="0" fillId="0" borderId="14" xfId="0" applyBorder="1"/>
    <xf numFmtId="0" fontId="0" fillId="0" borderId="32" xfId="0" applyBorder="1"/>
    <xf numFmtId="0" fontId="1" fillId="0" borderId="8" xfId="0" applyFont="1" applyBorder="1" applyAlignment="1">
      <alignment horizontal="center" vertical="center"/>
    </xf>
    <xf numFmtId="165" fontId="1" fillId="0" borderId="8" xfId="1" applyNumberFormat="1" applyFont="1" applyBorder="1" applyAlignment="1">
      <alignment horizontal="center" vertical="center"/>
    </xf>
    <xf numFmtId="43" fontId="7" fillId="0" borderId="8" xfId="1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43" fontId="7" fillId="0" borderId="27" xfId="1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6" fontId="10" fillId="0" borderId="15" xfId="0" applyNumberFormat="1" applyFont="1" applyBorder="1" applyAlignment="1">
      <alignment horizontal="center" vertical="center" wrapText="1"/>
    </xf>
    <xf numFmtId="168" fontId="14" fillId="0" borderId="16" xfId="0" applyNumberFormat="1" applyFont="1" applyBorder="1" applyAlignment="1">
      <alignment horizontal="center" vertical="center"/>
    </xf>
    <xf numFmtId="169" fontId="14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8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166" fontId="14" fillId="0" borderId="17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vertical="center"/>
    </xf>
    <xf numFmtId="0" fontId="14" fillId="0" borderId="44" xfId="0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67" fontId="10" fillId="0" borderId="15" xfId="0" applyNumberFormat="1" applyFont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171" fontId="18" fillId="0" borderId="17" xfId="0" applyNumberFormat="1" applyFont="1" applyBorder="1" applyAlignment="1">
      <alignment horizontal="center" vertical="center"/>
    </xf>
    <xf numFmtId="172" fontId="18" fillId="0" borderId="17" xfId="0" applyNumberFormat="1" applyFont="1" applyBorder="1" applyAlignment="1">
      <alignment horizontal="center" vertical="center"/>
    </xf>
    <xf numFmtId="171" fontId="15" fillId="0" borderId="17" xfId="0" applyNumberFormat="1" applyFont="1" applyBorder="1" applyAlignment="1">
      <alignment horizontal="center" vertical="center"/>
    </xf>
    <xf numFmtId="43" fontId="14" fillId="3" borderId="17" xfId="0" applyNumberFormat="1" applyFont="1" applyFill="1" applyBorder="1" applyAlignment="1">
      <alignment vertical="center"/>
    </xf>
    <xf numFmtId="43" fontId="14" fillId="3" borderId="17" xfId="0" applyNumberFormat="1" applyFont="1" applyFill="1" applyBorder="1" applyAlignment="1">
      <alignment horizontal="center" vertical="center"/>
    </xf>
    <xf numFmtId="171" fontId="11" fillId="0" borderId="6" xfId="0" applyNumberFormat="1" applyFont="1" applyBorder="1" applyAlignment="1">
      <alignment horizontal="center" vertical="center"/>
    </xf>
    <xf numFmtId="170" fontId="11" fillId="3" borderId="6" xfId="1" applyNumberFormat="1" applyFont="1" applyFill="1" applyBorder="1" applyAlignment="1">
      <alignment vertical="center"/>
    </xf>
    <xf numFmtId="166" fontId="17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6" fontId="17" fillId="3" borderId="2" xfId="0" applyNumberFormat="1" applyFont="1" applyFill="1" applyBorder="1" applyAlignment="1">
      <alignment vertical="center"/>
    </xf>
    <xf numFmtId="166" fontId="17" fillId="0" borderId="2" xfId="0" applyNumberFormat="1" applyFont="1" applyBorder="1" applyAlignment="1">
      <alignment vertical="center"/>
    </xf>
    <xf numFmtId="167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0" fillId="3" borderId="25" xfId="0" applyFont="1" applyFill="1" applyBorder="1" applyAlignment="1">
      <alignment horizontal="center" vertical="center" wrapText="1"/>
    </xf>
    <xf numFmtId="43" fontId="18" fillId="3" borderId="35" xfId="0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wrapText="1"/>
    </xf>
    <xf numFmtId="3" fontId="6" fillId="0" borderId="6" xfId="0" quotePrefix="1" applyNumberFormat="1" applyFont="1" applyBorder="1" applyAlignment="1">
      <alignment horizontal="center" vertical="center" wrapText="1"/>
    </xf>
    <xf numFmtId="3" fontId="6" fillId="0" borderId="17" xfId="0" quotePrefix="1" applyNumberFormat="1" applyFont="1" applyBorder="1" applyAlignment="1">
      <alignment horizontal="center" vertical="center" wrapText="1"/>
    </xf>
    <xf numFmtId="3" fontId="6" fillId="0" borderId="9" xfId="0" quotePrefix="1" applyNumberFormat="1" applyFont="1" applyBorder="1" applyAlignment="1">
      <alignment horizontal="center" vertical="center" wrapText="1"/>
    </xf>
    <xf numFmtId="3" fontId="6" fillId="0" borderId="14" xfId="0" quotePrefix="1" applyNumberFormat="1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4" borderId="23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166" fontId="6" fillId="4" borderId="8" xfId="0" applyNumberFormat="1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170" fontId="14" fillId="4" borderId="17" xfId="0" applyNumberFormat="1" applyFont="1" applyFill="1" applyBorder="1" applyAlignment="1">
      <alignment horizontal="center" vertical="center"/>
    </xf>
    <xf numFmtId="43" fontId="11" fillId="4" borderId="6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vertical="center"/>
    </xf>
    <xf numFmtId="166" fontId="17" fillId="3" borderId="0" xfId="0" applyNumberFormat="1" applyFont="1" applyFill="1" applyBorder="1" applyAlignment="1">
      <alignment vertical="center"/>
    </xf>
    <xf numFmtId="166" fontId="17" fillId="0" borderId="0" xfId="0" applyNumberFormat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vertical="center"/>
    </xf>
    <xf numFmtId="49" fontId="22" fillId="0" borderId="0" xfId="0" applyNumberFormat="1" applyFont="1" applyBorder="1" applyAlignment="1">
      <alignment horizontal="left" vertical="center"/>
    </xf>
    <xf numFmtId="0" fontId="24" fillId="0" borderId="44" xfId="0" applyFont="1" applyBorder="1" applyAlignment="1">
      <alignment vertical="center"/>
    </xf>
    <xf numFmtId="167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166" fontId="2" fillId="0" borderId="0" xfId="0" applyNumberFormat="1" applyFont="1" applyBorder="1" applyAlignment="1">
      <alignment vertical="center"/>
    </xf>
    <xf numFmtId="16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0" fillId="0" borderId="21" xfId="0" applyBorder="1"/>
    <xf numFmtId="166" fontId="2" fillId="0" borderId="21" xfId="0" applyNumberFormat="1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25" fillId="0" borderId="44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0" fillId="0" borderId="0" xfId="0" applyBorder="1"/>
    <xf numFmtId="0" fontId="25" fillId="0" borderId="0" xfId="0" applyFont="1" applyBorder="1"/>
    <xf numFmtId="166" fontId="27" fillId="0" borderId="0" xfId="0" applyNumberFormat="1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27" fillId="0" borderId="4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17" fillId="0" borderId="48" xfId="0" applyFont="1" applyBorder="1" applyAlignment="1">
      <alignment vertical="center"/>
    </xf>
    <xf numFmtId="0" fontId="0" fillId="0" borderId="48" xfId="0" applyBorder="1" applyAlignment="1">
      <alignment vertical="center"/>
    </xf>
    <xf numFmtId="0" fontId="2" fillId="0" borderId="48" xfId="0" applyFont="1" applyBorder="1" applyAlignment="1">
      <alignment vertical="center"/>
    </xf>
    <xf numFmtId="0" fontId="0" fillId="3" borderId="4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166" fontId="10" fillId="0" borderId="49" xfId="0" applyNumberFormat="1" applyFont="1" applyBorder="1" applyAlignment="1">
      <alignment horizontal="center" vertical="center" wrapText="1"/>
    </xf>
    <xf numFmtId="166" fontId="14" fillId="0" borderId="46" xfId="0" applyNumberFormat="1" applyFont="1" applyBorder="1" applyAlignment="1">
      <alignment horizontal="center" vertical="center"/>
    </xf>
    <xf numFmtId="170" fontId="11" fillId="3" borderId="26" xfId="1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right" vertical="center"/>
    </xf>
    <xf numFmtId="166" fontId="17" fillId="3" borderId="0" xfId="0" applyNumberFormat="1" applyFont="1" applyFill="1" applyAlignment="1">
      <alignment vertical="center"/>
    </xf>
    <xf numFmtId="167" fontId="16" fillId="3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17" fillId="3" borderId="0" xfId="0" applyFont="1" applyFill="1" applyBorder="1" applyAlignment="1">
      <alignment horizontal="right" vertical="center"/>
    </xf>
    <xf numFmtId="0" fontId="17" fillId="3" borderId="21" xfId="0" applyFont="1" applyFill="1" applyBorder="1" applyAlignment="1">
      <alignment vertical="center"/>
    </xf>
    <xf numFmtId="0" fontId="17" fillId="3" borderId="21" xfId="0" applyFont="1" applyFill="1" applyBorder="1" applyAlignment="1">
      <alignment horizontal="right" vertical="center"/>
    </xf>
    <xf numFmtId="166" fontId="17" fillId="3" borderId="21" xfId="0" applyNumberFormat="1" applyFont="1" applyFill="1" applyBorder="1" applyAlignment="1">
      <alignment vertical="center"/>
    </xf>
    <xf numFmtId="167" fontId="16" fillId="3" borderId="21" xfId="0" applyNumberFormat="1" applyFont="1" applyFill="1" applyBorder="1" applyAlignment="1">
      <alignment horizontal="right" vertical="center"/>
    </xf>
    <xf numFmtId="0" fontId="16" fillId="3" borderId="21" xfId="0" applyFont="1" applyFill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1" fillId="3" borderId="0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5" borderId="23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7" fillId="3" borderId="2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7" fillId="3" borderId="21" xfId="0" applyFont="1" applyFill="1" applyBorder="1" applyAlignment="1">
      <alignment horizontal="right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169" fontId="14" fillId="0" borderId="34" xfId="0" applyNumberFormat="1" applyFont="1" applyBorder="1" applyAlignment="1">
      <alignment horizontal="center" vertical="center"/>
    </xf>
    <xf numFmtId="169" fontId="14" fillId="0" borderId="46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65742</xdr:colOff>
      <xdr:row>0</xdr:row>
      <xdr:rowOff>42964</xdr:rowOff>
    </xdr:from>
    <xdr:to>
      <xdr:col>2</xdr:col>
      <xdr:colOff>253861</xdr:colOff>
      <xdr:row>3</xdr:row>
      <xdr:rowOff>132521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D0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2" y="42964"/>
          <a:ext cx="925271" cy="561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3107</xdr:colOff>
      <xdr:row>0</xdr:row>
      <xdr:rowOff>72471</xdr:rowOff>
    </xdr:from>
    <xdr:to>
      <xdr:col>15</xdr:col>
      <xdr:colOff>1187136</xdr:colOff>
      <xdr:row>3</xdr:row>
      <xdr:rowOff>85103</xdr:rowOff>
    </xdr:to>
    <xdr:pic>
      <xdr:nvPicPr>
        <xdr:cNvPr id="4" name="Picture 3" descr="n-pipe-logo.jpg">
          <a:extLst>
            <a:ext uri="{FF2B5EF4-FFF2-40B4-BE49-F238E27FC236}">
              <a16:creationId xmlns:a16="http://schemas.microsoft.com/office/drawing/2014/main" id="{00000000-0008-0000-0000-0000CF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0324" y="72471"/>
          <a:ext cx="2086834" cy="484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view="pageBreakPreview" zoomScale="80" zoomScaleNormal="85" workbookViewId="0">
      <selection activeCell="M10" sqref="M17 M10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hidden="1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15" ht="42" customHeight="1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1"/>
    </row>
    <row r="3" spans="1:15" s="1" customFormat="1" ht="28.5" customHeight="1">
      <c r="A3" s="223" t="s">
        <v>2</v>
      </c>
      <c r="B3" s="225" t="s">
        <v>3</v>
      </c>
      <c r="C3" s="225" t="s">
        <v>4</v>
      </c>
      <c r="D3" s="225" t="s">
        <v>5</v>
      </c>
      <c r="E3" s="225" t="s">
        <v>6</v>
      </c>
      <c r="F3" s="225" t="s">
        <v>7</v>
      </c>
      <c r="G3" s="225" t="s">
        <v>8</v>
      </c>
      <c r="H3" s="225" t="s">
        <v>9</v>
      </c>
      <c r="I3" s="225" t="s">
        <v>10</v>
      </c>
      <c r="J3" s="222" t="s">
        <v>11</v>
      </c>
      <c r="K3" s="222"/>
      <c r="L3" s="222"/>
      <c r="M3" s="222"/>
      <c r="N3" s="225" t="s">
        <v>12</v>
      </c>
      <c r="O3" s="227" t="s">
        <v>13</v>
      </c>
    </row>
    <row r="4" spans="1:15" s="1" customFormat="1" ht="42.75">
      <c r="A4" s="224"/>
      <c r="B4" s="226"/>
      <c r="C4" s="226"/>
      <c r="D4" s="226"/>
      <c r="E4" s="226"/>
      <c r="F4" s="226"/>
      <c r="G4" s="226"/>
      <c r="H4" s="226"/>
      <c r="I4" s="226"/>
      <c r="J4" s="39" t="s">
        <v>14</v>
      </c>
      <c r="K4" s="39" t="s">
        <v>15</v>
      </c>
      <c r="L4" s="39" t="s">
        <v>16</v>
      </c>
      <c r="M4" s="40" t="s">
        <v>17</v>
      </c>
      <c r="N4" s="226"/>
      <c r="O4" s="228"/>
    </row>
    <row r="5" spans="1:15" customFormat="1" ht="30" customHeight="1">
      <c r="A5" s="6" t="s">
        <v>18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1:15" s="2" customFormat="1" ht="45" customHeight="1">
      <c r="A6" s="8">
        <v>1</v>
      </c>
      <c r="B6" s="9">
        <v>99</v>
      </c>
      <c r="C6" s="229" t="s">
        <v>19</v>
      </c>
      <c r="D6" s="9" t="s">
        <v>20</v>
      </c>
      <c r="E6" s="9" t="s">
        <v>21</v>
      </c>
      <c r="F6" s="9">
        <v>44.5</v>
      </c>
      <c r="G6" s="9" t="s">
        <v>22</v>
      </c>
      <c r="H6" s="9">
        <v>7.1</v>
      </c>
      <c r="I6" s="9" t="s">
        <v>23</v>
      </c>
      <c r="J6" s="54">
        <v>6</v>
      </c>
      <c r="K6" s="54">
        <v>5</v>
      </c>
      <c r="L6" s="69">
        <f t="shared" ref="L6:L9" si="0">J6*K6</f>
        <v>30</v>
      </c>
      <c r="M6" s="69">
        <v>0.22176399150000001</v>
      </c>
      <c r="N6" s="56"/>
      <c r="O6" s="57"/>
    </row>
    <row r="7" spans="1:15" s="2" customFormat="1" ht="45" customHeight="1">
      <c r="A7" s="18">
        <v>2</v>
      </c>
      <c r="B7" s="19">
        <v>102</v>
      </c>
      <c r="C7" s="230"/>
      <c r="D7" s="19" t="s">
        <v>20</v>
      </c>
      <c r="E7" s="19" t="s">
        <v>21</v>
      </c>
      <c r="F7" s="19">
        <v>44.5</v>
      </c>
      <c r="G7" s="19" t="s">
        <v>22</v>
      </c>
      <c r="H7" s="19">
        <v>5.5</v>
      </c>
      <c r="I7" s="19" t="s">
        <v>23</v>
      </c>
      <c r="J7" s="58">
        <v>6</v>
      </c>
      <c r="K7" s="58">
        <v>3</v>
      </c>
      <c r="L7" s="72">
        <f t="shared" si="0"/>
        <v>18</v>
      </c>
      <c r="M7" s="72">
        <v>0.10431684450000001</v>
      </c>
      <c r="N7" s="60"/>
      <c r="O7" s="61"/>
    </row>
    <row r="8" spans="1:15" s="2" customFormat="1" ht="45" customHeight="1">
      <c r="A8" s="18">
        <v>3</v>
      </c>
      <c r="B8" s="19">
        <v>103</v>
      </c>
      <c r="C8" s="230"/>
      <c r="D8" s="19" t="s">
        <v>20</v>
      </c>
      <c r="E8" s="19" t="s">
        <v>21</v>
      </c>
      <c r="F8" s="19">
        <v>44.5</v>
      </c>
      <c r="G8" s="19" t="s">
        <v>22</v>
      </c>
      <c r="H8" s="19">
        <v>5.9</v>
      </c>
      <c r="I8" s="19" t="s">
        <v>23</v>
      </c>
      <c r="J8" s="58">
        <v>6</v>
      </c>
      <c r="K8" s="58">
        <v>3</v>
      </c>
      <c r="L8" s="72">
        <f t="shared" si="0"/>
        <v>18</v>
      </c>
      <c r="M8" s="72">
        <v>0.1115700561</v>
      </c>
      <c r="N8" s="60"/>
      <c r="O8" s="61"/>
    </row>
    <row r="9" spans="1:15" s="2" customFormat="1" ht="45" customHeight="1">
      <c r="A9" s="144">
        <v>4</v>
      </c>
      <c r="B9" s="145" t="s">
        <v>24</v>
      </c>
      <c r="C9" s="13" t="s">
        <v>25</v>
      </c>
      <c r="D9" s="13" t="s">
        <v>20</v>
      </c>
      <c r="E9" s="13" t="s">
        <v>26</v>
      </c>
      <c r="F9" s="26">
        <v>63.5</v>
      </c>
      <c r="G9" s="26" t="s">
        <v>22</v>
      </c>
      <c r="H9" s="26">
        <v>3.6</v>
      </c>
      <c r="I9" s="26" t="s">
        <v>23</v>
      </c>
      <c r="J9" s="46">
        <v>6</v>
      </c>
      <c r="K9" s="46">
        <v>11</v>
      </c>
      <c r="L9" s="77">
        <f t="shared" si="0"/>
        <v>66</v>
      </c>
      <c r="M9" s="77">
        <v>0.36517967639999999</v>
      </c>
      <c r="N9" s="48"/>
      <c r="O9" s="49"/>
    </row>
    <row r="10" spans="1:15" s="2" customFormat="1" ht="45" customHeight="1">
      <c r="A10" s="29"/>
      <c r="B10" s="30"/>
      <c r="C10" s="30"/>
      <c r="D10" s="30"/>
      <c r="E10" s="31"/>
      <c r="F10" s="31"/>
      <c r="G10" s="31"/>
      <c r="H10" s="31"/>
      <c r="I10" s="31"/>
      <c r="J10" s="82"/>
      <c r="K10" s="82"/>
      <c r="L10" s="83"/>
      <c r="M10" s="84">
        <f>SUM(M6:M9)</f>
        <v>0.80283056850000001</v>
      </c>
      <c r="N10" s="80"/>
      <c r="O10" s="85">
        <f>SUM(O6:O9)</f>
        <v>0</v>
      </c>
    </row>
    <row r="11" spans="1:15" customFormat="1" ht="32.25" customHeight="1">
      <c r="A11" s="32" t="s">
        <v>27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41"/>
    </row>
    <row r="12" spans="1:15" customFormat="1" ht="45.75" customHeight="1">
      <c r="A12" s="18">
        <v>5</v>
      </c>
      <c r="B12" s="19">
        <v>93</v>
      </c>
      <c r="C12" s="34" t="s">
        <v>28</v>
      </c>
      <c r="D12" s="19" t="s">
        <v>20</v>
      </c>
      <c r="E12" s="19" t="s">
        <v>21</v>
      </c>
      <c r="F12" s="19">
        <v>44.5</v>
      </c>
      <c r="G12" s="19" t="s">
        <v>22</v>
      </c>
      <c r="H12" s="19">
        <v>7.1</v>
      </c>
      <c r="I12" s="19" t="s">
        <v>23</v>
      </c>
      <c r="J12" s="92" t="s">
        <v>29</v>
      </c>
      <c r="K12" s="93" t="s">
        <v>30</v>
      </c>
      <c r="L12" s="93">
        <v>100</v>
      </c>
      <c r="M12" s="94">
        <v>0.65500000000000003</v>
      </c>
      <c r="N12" s="95"/>
      <c r="O12" s="96"/>
    </row>
    <row r="13" spans="1:15" customFormat="1" ht="45.75" customHeight="1">
      <c r="A13" s="18">
        <v>6</v>
      </c>
      <c r="B13" s="19">
        <v>94</v>
      </c>
      <c r="C13" s="34" t="s">
        <v>28</v>
      </c>
      <c r="D13" s="19" t="s">
        <v>20</v>
      </c>
      <c r="E13" s="19" t="s">
        <v>21</v>
      </c>
      <c r="F13" s="19">
        <v>44.5</v>
      </c>
      <c r="G13" s="19" t="s">
        <v>22</v>
      </c>
      <c r="H13" s="19">
        <v>5.5</v>
      </c>
      <c r="I13" s="19" t="s">
        <v>23</v>
      </c>
      <c r="J13" s="92" t="s">
        <v>29</v>
      </c>
      <c r="K13" s="93" t="s">
        <v>30</v>
      </c>
      <c r="L13" s="93">
        <v>100</v>
      </c>
      <c r="M13" s="94">
        <v>0.52900000000000003</v>
      </c>
      <c r="N13" s="95"/>
      <c r="O13" s="96"/>
    </row>
    <row r="14" spans="1:15" customFormat="1" ht="45.75" customHeight="1">
      <c r="A14" s="18">
        <v>7</v>
      </c>
      <c r="B14" s="19">
        <v>95</v>
      </c>
      <c r="C14" s="34" t="s">
        <v>28</v>
      </c>
      <c r="D14" s="19" t="s">
        <v>20</v>
      </c>
      <c r="E14" s="19" t="s">
        <v>26</v>
      </c>
      <c r="F14" s="19">
        <v>44.5</v>
      </c>
      <c r="G14" s="19" t="s">
        <v>22</v>
      </c>
      <c r="H14" s="19">
        <v>5.7</v>
      </c>
      <c r="I14" s="19" t="s">
        <v>23</v>
      </c>
      <c r="J14" s="92" t="s">
        <v>29</v>
      </c>
      <c r="K14" s="93" t="s">
        <v>30</v>
      </c>
      <c r="L14" s="93">
        <v>100</v>
      </c>
      <c r="M14" s="94">
        <v>0.54500000000000004</v>
      </c>
      <c r="N14" s="95"/>
      <c r="O14" s="96"/>
    </row>
    <row r="15" spans="1:15" customFormat="1" ht="45.75" customHeight="1">
      <c r="A15" s="18">
        <v>8</v>
      </c>
      <c r="B15" s="19">
        <v>96</v>
      </c>
      <c r="C15" s="34" t="s">
        <v>28</v>
      </c>
      <c r="D15" s="19" t="s">
        <v>20</v>
      </c>
      <c r="E15" s="19" t="s">
        <v>26</v>
      </c>
      <c r="F15" s="19">
        <v>44.5</v>
      </c>
      <c r="G15" s="19" t="s">
        <v>22</v>
      </c>
      <c r="H15" s="19">
        <v>6.1</v>
      </c>
      <c r="I15" s="19" t="s">
        <v>23</v>
      </c>
      <c r="J15" s="92" t="s">
        <v>29</v>
      </c>
      <c r="K15" s="93" t="s">
        <v>30</v>
      </c>
      <c r="L15" s="93">
        <v>100</v>
      </c>
      <c r="M15" s="94">
        <v>0.57799999999999996</v>
      </c>
      <c r="N15" s="95"/>
      <c r="O15" s="96"/>
    </row>
    <row r="16" spans="1:15" customFormat="1" ht="45.75" customHeight="1">
      <c r="A16" s="18">
        <v>9</v>
      </c>
      <c r="B16" s="17">
        <v>97</v>
      </c>
      <c r="C16" s="35" t="s">
        <v>28</v>
      </c>
      <c r="D16" s="17" t="s">
        <v>20</v>
      </c>
      <c r="E16" s="17" t="s">
        <v>21</v>
      </c>
      <c r="F16" s="17">
        <v>44.5</v>
      </c>
      <c r="G16" s="17" t="s">
        <v>22</v>
      </c>
      <c r="H16" s="17">
        <v>5.9</v>
      </c>
      <c r="I16" s="17" t="s">
        <v>23</v>
      </c>
      <c r="J16" s="97" t="s">
        <v>29</v>
      </c>
      <c r="K16" s="87" t="s">
        <v>30</v>
      </c>
      <c r="L16" s="98">
        <v>100</v>
      </c>
      <c r="M16" s="99">
        <v>0.56200000000000006</v>
      </c>
      <c r="N16" s="100"/>
      <c r="O16" s="101"/>
    </row>
    <row r="17" spans="1:15" s="2" customFormat="1" ht="45" customHeight="1">
      <c r="A17" s="36" t="s">
        <v>31</v>
      </c>
      <c r="B17" s="37"/>
      <c r="C17" s="37"/>
      <c r="D17" s="37"/>
      <c r="E17" s="38"/>
      <c r="F17" s="38"/>
      <c r="G17" s="38"/>
      <c r="H17" s="38"/>
      <c r="I17" s="38"/>
      <c r="J17" s="102"/>
      <c r="K17" s="102"/>
      <c r="L17" s="103"/>
      <c r="M17" s="104">
        <f>SUM(M12:M16)</f>
        <v>2.8690000000000002</v>
      </c>
      <c r="N17" s="105"/>
      <c r="O17" s="106">
        <f>SUM(O12:O16)</f>
        <v>0</v>
      </c>
    </row>
  </sheetData>
  <mergeCells count="15">
    <mergeCell ref="C6:C8"/>
    <mergeCell ref="D3:D4"/>
    <mergeCell ref="E3:E4"/>
    <mergeCell ref="F3:F4"/>
    <mergeCell ref="G3:G4"/>
    <mergeCell ref="A1:O1"/>
    <mergeCell ref="A2:O2"/>
    <mergeCell ref="J3:M3"/>
    <mergeCell ref="A3:A4"/>
    <mergeCell ref="B3:B4"/>
    <mergeCell ref="C3:C4"/>
    <mergeCell ref="H3:H4"/>
    <mergeCell ref="I3:I4"/>
    <mergeCell ref="N3:N4"/>
    <mergeCell ref="O3:O4"/>
  </mergeCells>
  <phoneticPr fontId="20" type="noConversion"/>
  <printOptions horizontalCentered="1"/>
  <pageMargins left="0.196850393700787" right="0" top="0.74803149606299202" bottom="0.74803149606299202" header="0.31496062992126" footer="0.31496062992126"/>
  <pageSetup paperSize="9" scale="70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7"/>
  <sheetViews>
    <sheetView tabSelected="1" view="pageBreakPreview" zoomScale="115" zoomScaleNormal="80" zoomScaleSheetLayoutView="115" workbookViewId="0">
      <selection activeCell="H12" sqref="H12"/>
    </sheetView>
  </sheetViews>
  <sheetFormatPr defaultColWidth="9.140625" defaultRowHeight="15"/>
  <cols>
    <col min="1" max="1" width="5.42578125" style="3" customWidth="1"/>
    <col min="2" max="2" width="5.5703125" style="3" customWidth="1"/>
    <col min="3" max="3" width="12.5703125" style="3" customWidth="1"/>
    <col min="4" max="4" width="17.5703125" style="3" customWidth="1"/>
    <col min="5" max="5" width="18.7109375" style="3" customWidth="1"/>
    <col min="6" max="6" width="9" style="3" customWidth="1"/>
    <col min="7" max="7" width="8.28515625" style="3" customWidth="1"/>
    <col min="8" max="8" width="9.140625" style="3" customWidth="1"/>
    <col min="9" max="9" width="8.42578125" style="3" customWidth="1"/>
    <col min="10" max="10" width="10.5703125" style="109" customWidth="1"/>
    <col min="11" max="11" width="6.42578125" style="109" customWidth="1"/>
    <col min="12" max="12" width="9.42578125" style="3" customWidth="1"/>
    <col min="13" max="13" width="11.42578125" style="4" customWidth="1"/>
    <col min="14" max="14" width="12.85546875" style="4" customWidth="1"/>
    <col min="15" max="15" width="13.5703125" style="4" customWidth="1"/>
    <col min="16" max="16" width="18.5703125" style="110" customWidth="1"/>
    <col min="17" max="17" width="9.140625" style="5"/>
    <col min="18" max="18" width="10.85546875" style="5" bestFit="1" customWidth="1"/>
    <col min="19" max="16384" width="9.140625" style="5"/>
  </cols>
  <sheetData>
    <row r="1" spans="1:18" ht="6" customHeight="1"/>
    <row r="2" spans="1:18" ht="15.75" customHeight="1">
      <c r="A2" s="237"/>
      <c r="B2" s="237"/>
      <c r="C2" s="238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</row>
    <row r="3" spans="1:18" s="150" customFormat="1" ht="15.75" customHeight="1">
      <c r="A3" s="237"/>
      <c r="B3" s="237"/>
      <c r="C3" s="238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</row>
    <row r="4" spans="1:18" ht="12" customHeight="1" thickBot="1">
      <c r="A4" s="239"/>
      <c r="B4" s="239"/>
      <c r="C4" s="240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149"/>
    </row>
    <row r="5" spans="1:18" ht="3.75" customHeight="1" thickBot="1">
      <c r="A5" s="155"/>
      <c r="B5" s="156"/>
      <c r="C5" s="156"/>
      <c r="D5" s="156"/>
      <c r="E5" s="156"/>
      <c r="F5" s="156"/>
      <c r="G5" s="156"/>
      <c r="H5" s="156"/>
      <c r="I5" s="156"/>
      <c r="J5" s="157"/>
      <c r="K5" s="157"/>
      <c r="L5" s="156"/>
      <c r="M5" s="158"/>
      <c r="N5" s="158"/>
      <c r="O5" s="158"/>
      <c r="P5" s="158"/>
    </row>
    <row r="6" spans="1:18" ht="20.100000000000001" customHeight="1">
      <c r="A6" s="241" t="s">
        <v>32</v>
      </c>
      <c r="B6" s="241"/>
      <c r="C6" s="204" t="s">
        <v>90</v>
      </c>
      <c r="D6" s="204"/>
      <c r="E6" s="204"/>
      <c r="F6" s="204"/>
      <c r="G6" s="205"/>
      <c r="H6" s="205" t="s">
        <v>88</v>
      </c>
      <c r="I6" s="204" t="s">
        <v>156</v>
      </c>
      <c r="J6" s="206"/>
      <c r="K6" s="206"/>
      <c r="L6" s="125"/>
      <c r="M6" s="207" t="s">
        <v>78</v>
      </c>
      <c r="N6" s="208" t="s">
        <v>134</v>
      </c>
      <c r="O6" s="208"/>
      <c r="P6" s="208"/>
    </row>
    <row r="7" spans="1:18" ht="20.100000000000001" customHeight="1">
      <c r="A7" s="242" t="s">
        <v>94</v>
      </c>
      <c r="B7" s="242"/>
      <c r="C7" s="209" t="s">
        <v>91</v>
      </c>
      <c r="D7" s="210"/>
      <c r="E7" s="210"/>
      <c r="F7" s="210"/>
      <c r="G7" s="210"/>
      <c r="H7" s="211" t="s">
        <v>33</v>
      </c>
      <c r="I7" s="167" t="s">
        <v>89</v>
      </c>
      <c r="J7" s="206"/>
      <c r="K7" s="206"/>
      <c r="L7" s="125"/>
      <c r="M7" s="207" t="s">
        <v>33</v>
      </c>
      <c r="N7" s="208" t="s">
        <v>135</v>
      </c>
      <c r="O7" s="208"/>
      <c r="P7" s="208"/>
    </row>
    <row r="8" spans="1:18" s="150" customFormat="1" ht="20.100000000000001" customHeight="1">
      <c r="A8" s="242" t="s">
        <v>95</v>
      </c>
      <c r="B8" s="242"/>
      <c r="C8" s="209" t="s">
        <v>91</v>
      </c>
      <c r="D8" s="210"/>
      <c r="E8" s="210"/>
      <c r="F8" s="210"/>
      <c r="G8" s="210"/>
      <c r="H8" s="211"/>
      <c r="I8" s="167"/>
      <c r="J8" s="206"/>
      <c r="K8" s="206"/>
      <c r="L8" s="125"/>
      <c r="M8" s="207" t="s">
        <v>136</v>
      </c>
      <c r="N8" s="208" t="s">
        <v>92</v>
      </c>
      <c r="O8" s="208"/>
      <c r="P8" s="208"/>
    </row>
    <row r="9" spans="1:18" ht="20.100000000000001" customHeight="1">
      <c r="A9" s="242" t="s">
        <v>84</v>
      </c>
      <c r="B9" s="242"/>
      <c r="C9" s="209" t="s">
        <v>80</v>
      </c>
      <c r="D9" s="204"/>
      <c r="E9" s="204"/>
      <c r="F9" s="204"/>
      <c r="G9" s="167"/>
      <c r="H9" s="211" t="s">
        <v>85</v>
      </c>
      <c r="I9" s="167" t="s">
        <v>86</v>
      </c>
      <c r="J9" s="206"/>
      <c r="K9" s="206"/>
      <c r="L9" s="125"/>
      <c r="M9" s="207" t="s">
        <v>34</v>
      </c>
      <c r="N9" s="208" t="s">
        <v>79</v>
      </c>
      <c r="O9" s="208"/>
      <c r="P9" s="208"/>
    </row>
    <row r="10" spans="1:18" ht="20.100000000000001" customHeight="1" thickBot="1">
      <c r="A10" s="243" t="s">
        <v>35</v>
      </c>
      <c r="B10" s="243"/>
      <c r="C10" s="209" t="s">
        <v>81</v>
      </c>
      <c r="D10" s="212"/>
      <c r="E10" s="212"/>
      <c r="F10" s="212"/>
      <c r="G10" s="212"/>
      <c r="H10" s="213" t="s">
        <v>82</v>
      </c>
      <c r="I10" s="212" t="s">
        <v>83</v>
      </c>
      <c r="J10" s="214"/>
      <c r="K10" s="214"/>
      <c r="L10" s="212"/>
      <c r="M10" s="215" t="s">
        <v>35</v>
      </c>
      <c r="N10" s="216" t="s">
        <v>87</v>
      </c>
      <c r="O10" s="216"/>
      <c r="P10" s="216"/>
    </row>
    <row r="11" spans="1:18" ht="21" customHeight="1" thickBot="1">
      <c r="A11" s="233" t="s">
        <v>36</v>
      </c>
      <c r="B11" s="234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6"/>
    </row>
    <row r="12" spans="1:18" s="1" customFormat="1" ht="34.5" customHeight="1">
      <c r="A12" s="111" t="s">
        <v>37</v>
      </c>
      <c r="B12" s="244" t="s">
        <v>38</v>
      </c>
      <c r="C12" s="245"/>
      <c r="D12" s="112" t="s">
        <v>39</v>
      </c>
      <c r="E12" s="112" t="s">
        <v>137</v>
      </c>
      <c r="F12" s="112" t="s">
        <v>158</v>
      </c>
      <c r="G12" s="112" t="s">
        <v>139</v>
      </c>
      <c r="H12" s="112" t="s">
        <v>40</v>
      </c>
      <c r="I12" s="112" t="s">
        <v>140</v>
      </c>
      <c r="J12" s="113" t="s">
        <v>144</v>
      </c>
      <c r="K12" s="113" t="s">
        <v>98</v>
      </c>
      <c r="L12" s="112" t="s">
        <v>142</v>
      </c>
      <c r="M12" s="159" t="s">
        <v>141</v>
      </c>
      <c r="N12" s="127" t="s">
        <v>143</v>
      </c>
      <c r="O12" s="127" t="s">
        <v>101</v>
      </c>
      <c r="P12" s="142" t="s">
        <v>97</v>
      </c>
      <c r="Q12" s="201" t="s">
        <v>41</v>
      </c>
      <c r="R12" s="126" t="s">
        <v>155</v>
      </c>
    </row>
    <row r="13" spans="1:18" s="2" customFormat="1" ht="17.25" customHeight="1">
      <c r="A13" s="114">
        <v>1</v>
      </c>
      <c r="B13" s="246" t="s">
        <v>96</v>
      </c>
      <c r="C13" s="247"/>
      <c r="D13" s="115" t="s">
        <v>76</v>
      </c>
      <c r="E13" s="115" t="s">
        <v>138</v>
      </c>
      <c r="F13" s="116">
        <v>24</v>
      </c>
      <c r="G13" s="115">
        <v>609.6</v>
      </c>
      <c r="H13" s="117" t="s">
        <v>77</v>
      </c>
      <c r="I13" s="118">
        <v>17.48</v>
      </c>
      <c r="J13" s="128" t="s">
        <v>145</v>
      </c>
      <c r="K13" s="129" t="s">
        <v>99</v>
      </c>
      <c r="L13" s="130">
        <v>1400</v>
      </c>
      <c r="M13" s="160">
        <v>150</v>
      </c>
      <c r="N13" s="131">
        <f>SUM(M13*L13)</f>
        <v>210000</v>
      </c>
      <c r="O13" s="132" t="s">
        <v>100</v>
      </c>
      <c r="P13" s="143"/>
      <c r="Q13" s="202">
        <f>(G13-I13)*I13*0.0246615</f>
        <v>255.25287780240001</v>
      </c>
      <c r="R13" s="119">
        <f>SUM(L13*Q13)/1000</f>
        <v>357.35402892335998</v>
      </c>
    </row>
    <row r="14" spans="1:18" s="2" customFormat="1" ht="18" customHeight="1">
      <c r="A14" s="114">
        <v>2</v>
      </c>
      <c r="B14" s="246" t="s">
        <v>96</v>
      </c>
      <c r="C14" s="247"/>
      <c r="D14" s="115" t="s">
        <v>76</v>
      </c>
      <c r="E14" s="115" t="s">
        <v>138</v>
      </c>
      <c r="F14" s="116">
        <v>6</v>
      </c>
      <c r="G14" s="115">
        <v>168.3</v>
      </c>
      <c r="H14" s="117" t="s">
        <v>77</v>
      </c>
      <c r="I14" s="118">
        <v>7.11</v>
      </c>
      <c r="J14" s="128" t="s">
        <v>145</v>
      </c>
      <c r="K14" s="129" t="s">
        <v>99</v>
      </c>
      <c r="L14" s="130">
        <v>300</v>
      </c>
      <c r="M14" s="160">
        <v>100</v>
      </c>
      <c r="N14" s="131">
        <f>SUM(M14*L14)</f>
        <v>30000</v>
      </c>
      <c r="O14" s="132" t="s">
        <v>100</v>
      </c>
      <c r="P14" s="143"/>
      <c r="Q14" s="202">
        <f>(G14-I14)*I14*0.0246615</f>
        <v>28.263580885349999</v>
      </c>
      <c r="R14" s="119">
        <f>SUM(L14*Q14)/1000</f>
        <v>8.4790742656049982</v>
      </c>
    </row>
    <row r="15" spans="1:18" s="2" customFormat="1" ht="20.100000000000001" customHeight="1" thickBot="1">
      <c r="A15" s="248" t="s">
        <v>31</v>
      </c>
      <c r="B15" s="249"/>
      <c r="C15" s="249"/>
      <c r="D15" s="249"/>
      <c r="E15" s="249"/>
      <c r="F15" s="249"/>
      <c r="G15" s="249"/>
      <c r="H15" s="249"/>
      <c r="I15" s="249"/>
      <c r="J15" s="249"/>
      <c r="K15" s="250"/>
      <c r="L15" s="133">
        <f>SUM(L13:L14)</f>
        <v>1700</v>
      </c>
      <c r="M15" s="161"/>
      <c r="N15" s="134">
        <f>SUM(N13:N14)</f>
        <v>240000</v>
      </c>
      <c r="O15" s="134"/>
      <c r="P15" s="203"/>
    </row>
    <row r="16" spans="1:18" ht="15.75" thickBot="1">
      <c r="A16" s="120"/>
      <c r="B16" s="120"/>
      <c r="C16" s="120"/>
      <c r="D16" s="120"/>
      <c r="E16" s="120"/>
      <c r="F16" s="120"/>
      <c r="G16" s="120"/>
      <c r="H16" s="120"/>
      <c r="I16" s="120"/>
      <c r="J16" s="135"/>
      <c r="K16" s="135"/>
      <c r="L16" s="120"/>
      <c r="M16" s="136"/>
      <c r="N16" s="136"/>
      <c r="O16" s="5"/>
      <c r="P16" s="5"/>
    </row>
    <row r="17" spans="1:16" ht="18" customHeight="1">
      <c r="A17" s="162" t="s">
        <v>130</v>
      </c>
      <c r="B17" s="152"/>
      <c r="C17" s="121"/>
      <c r="D17" s="122"/>
      <c r="E17" s="122"/>
      <c r="F17" s="122"/>
      <c r="G17" s="122"/>
      <c r="H17" s="122"/>
      <c r="I17" s="123"/>
      <c r="J17" s="137"/>
      <c r="K17" s="138"/>
      <c r="L17" s="138"/>
      <c r="M17" s="139"/>
      <c r="N17" s="140"/>
      <c r="O17" s="141"/>
      <c r="P17" s="195"/>
    </row>
    <row r="18" spans="1:16" ht="13.5" customHeight="1">
      <c r="A18" s="124">
        <v>1</v>
      </c>
      <c r="B18" s="163" t="s">
        <v>102</v>
      </c>
      <c r="C18" s="164"/>
      <c r="D18" s="171" t="s">
        <v>116</v>
      </c>
      <c r="E18" s="165"/>
      <c r="F18" s="166"/>
      <c r="G18" s="166"/>
      <c r="H18" s="166"/>
      <c r="I18" s="167"/>
      <c r="J18" s="168"/>
      <c r="K18" s="169"/>
      <c r="L18" s="169"/>
      <c r="M18" s="170"/>
      <c r="N18" s="170"/>
      <c r="O18" s="170"/>
      <c r="P18" s="196"/>
    </row>
    <row r="19" spans="1:16" ht="13.5" customHeight="1">
      <c r="A19" s="124">
        <v>2</v>
      </c>
      <c r="B19" s="163" t="s">
        <v>93</v>
      </c>
      <c r="C19" s="164"/>
      <c r="D19" s="165" t="s">
        <v>117</v>
      </c>
      <c r="E19" s="171"/>
      <c r="F19" s="166"/>
      <c r="G19" s="166"/>
      <c r="H19" s="166"/>
      <c r="I19" s="167"/>
      <c r="J19" s="168"/>
      <c r="K19" s="169"/>
      <c r="L19" s="169"/>
      <c r="M19" s="170"/>
      <c r="N19" s="170"/>
      <c r="O19" s="170"/>
      <c r="P19" s="196"/>
    </row>
    <row r="20" spans="1:16" ht="13.5" customHeight="1">
      <c r="A20" s="124">
        <v>3</v>
      </c>
      <c r="B20" s="163" t="s">
        <v>103</v>
      </c>
      <c r="C20" s="164"/>
      <c r="D20" s="165" t="s">
        <v>118</v>
      </c>
      <c r="E20" s="165"/>
      <c r="F20" s="166"/>
      <c r="G20" s="166"/>
      <c r="H20" s="166"/>
      <c r="I20" s="167"/>
      <c r="J20" s="168"/>
      <c r="K20" s="169"/>
      <c r="L20" s="169"/>
      <c r="M20" s="170"/>
      <c r="N20" s="170"/>
      <c r="O20" s="170"/>
      <c r="P20" s="196"/>
    </row>
    <row r="21" spans="1:16" ht="13.5" customHeight="1">
      <c r="A21" s="124">
        <v>4</v>
      </c>
      <c r="B21" s="163" t="s">
        <v>104</v>
      </c>
      <c r="C21" s="164"/>
      <c r="D21" s="172" t="s">
        <v>119</v>
      </c>
      <c r="E21" s="165"/>
      <c r="F21" s="166"/>
      <c r="G21" s="166"/>
      <c r="H21" s="166"/>
      <c r="I21" s="167"/>
      <c r="J21" s="168"/>
      <c r="K21" s="169"/>
      <c r="L21" s="169"/>
      <c r="M21" s="170"/>
      <c r="N21" s="170"/>
      <c r="O21" s="170"/>
      <c r="P21" s="196"/>
    </row>
    <row r="22" spans="1:16" s="150" customFormat="1" ht="13.5" customHeight="1">
      <c r="A22" s="124">
        <v>5</v>
      </c>
      <c r="B22" s="163" t="s">
        <v>105</v>
      </c>
      <c r="C22" s="164"/>
      <c r="D22" s="172" t="s">
        <v>120</v>
      </c>
      <c r="E22" s="172"/>
      <c r="F22" s="166"/>
      <c r="G22" s="166"/>
      <c r="H22" s="166"/>
      <c r="I22" s="167"/>
      <c r="J22" s="168"/>
      <c r="K22" s="169"/>
      <c r="L22" s="169"/>
      <c r="M22" s="170"/>
      <c r="N22" s="170"/>
      <c r="O22" s="170"/>
      <c r="P22" s="196"/>
    </row>
    <row r="23" spans="1:16" s="150" customFormat="1" ht="13.5" customHeight="1">
      <c r="A23" s="124">
        <v>6</v>
      </c>
      <c r="B23" s="163" t="s">
        <v>106</v>
      </c>
      <c r="C23" s="164"/>
      <c r="D23" s="172" t="s">
        <v>121</v>
      </c>
      <c r="E23" s="172"/>
      <c r="F23" s="166"/>
      <c r="G23" s="166"/>
      <c r="H23" s="166"/>
      <c r="I23" s="167"/>
      <c r="J23" s="168"/>
      <c r="K23" s="169"/>
      <c r="L23" s="169"/>
      <c r="M23" s="170"/>
      <c r="N23" s="170"/>
      <c r="O23" s="170"/>
      <c r="P23" s="196"/>
    </row>
    <row r="24" spans="1:16" s="150" customFormat="1" ht="13.5" customHeight="1">
      <c r="A24" s="124">
        <v>7</v>
      </c>
      <c r="B24" s="163" t="s">
        <v>107</v>
      </c>
      <c r="C24" s="164"/>
      <c r="D24" s="172" t="s">
        <v>121</v>
      </c>
      <c r="E24" s="172"/>
      <c r="F24" s="166"/>
      <c r="G24" s="166"/>
      <c r="H24" s="166"/>
      <c r="I24" s="167"/>
      <c r="J24" s="168"/>
      <c r="K24" s="169"/>
      <c r="L24" s="169"/>
      <c r="M24" s="170"/>
      <c r="N24" s="170"/>
      <c r="O24" s="170"/>
      <c r="P24" s="196"/>
    </row>
    <row r="25" spans="1:16" s="150" customFormat="1" ht="13.5" customHeight="1">
      <c r="A25" s="124">
        <v>8</v>
      </c>
      <c r="B25" s="163" t="s">
        <v>108</v>
      </c>
      <c r="C25" s="164"/>
      <c r="D25" s="172" t="s">
        <v>122</v>
      </c>
      <c r="E25" s="172"/>
      <c r="F25" s="166"/>
      <c r="G25" s="166"/>
      <c r="H25" s="166"/>
      <c r="I25" s="167"/>
      <c r="J25" s="168"/>
      <c r="K25" s="169"/>
      <c r="L25" s="169"/>
      <c r="M25" s="170"/>
      <c r="N25" s="170"/>
      <c r="O25" s="170"/>
      <c r="P25" s="196"/>
    </row>
    <row r="26" spans="1:16" s="150" customFormat="1" ht="13.5" customHeight="1">
      <c r="A26" s="124">
        <v>9</v>
      </c>
      <c r="B26" s="163" t="s">
        <v>109</v>
      </c>
      <c r="C26" s="164"/>
      <c r="D26" s="165" t="s">
        <v>123</v>
      </c>
      <c r="E26" s="172"/>
      <c r="F26" s="166"/>
      <c r="G26" s="166"/>
      <c r="H26" s="166"/>
      <c r="I26" s="167"/>
      <c r="J26" s="168"/>
      <c r="K26" s="169"/>
      <c r="L26" s="169"/>
      <c r="M26" s="170"/>
      <c r="N26" s="170"/>
      <c r="O26" s="170"/>
      <c r="P26" s="196"/>
    </row>
    <row r="27" spans="1:16" s="150" customFormat="1" ht="13.5" customHeight="1">
      <c r="A27" s="124">
        <v>10</v>
      </c>
      <c r="B27" s="163" t="s">
        <v>110</v>
      </c>
      <c r="C27" s="164"/>
      <c r="D27" s="173" t="s">
        <v>124</v>
      </c>
      <c r="E27" s="165"/>
      <c r="F27" s="166"/>
      <c r="G27" s="166"/>
      <c r="H27" s="166"/>
      <c r="I27" s="167"/>
      <c r="J27" s="168"/>
      <c r="K27" s="169"/>
      <c r="L27" s="169"/>
      <c r="M27" s="170"/>
      <c r="N27" s="170"/>
      <c r="O27" s="170"/>
      <c r="P27" s="196"/>
    </row>
    <row r="28" spans="1:16" s="150" customFormat="1" ht="13.5" customHeight="1">
      <c r="A28" s="124">
        <v>11</v>
      </c>
      <c r="B28" s="163" t="s">
        <v>111</v>
      </c>
      <c r="C28" s="164"/>
      <c r="D28" s="173" t="s">
        <v>124</v>
      </c>
      <c r="E28" s="173"/>
      <c r="F28" s="166"/>
      <c r="G28" s="166"/>
      <c r="H28" s="166"/>
      <c r="I28" s="167"/>
      <c r="J28" s="168"/>
      <c r="K28" s="169"/>
      <c r="L28" s="169"/>
      <c r="M28" s="170"/>
      <c r="N28" s="170"/>
      <c r="O28" s="170"/>
      <c r="P28" s="196"/>
    </row>
    <row r="29" spans="1:16" s="150" customFormat="1" ht="13.5" customHeight="1">
      <c r="A29" s="124">
        <v>12</v>
      </c>
      <c r="B29" s="163" t="s">
        <v>112</v>
      </c>
      <c r="C29" s="164"/>
      <c r="D29" s="172" t="s">
        <v>125</v>
      </c>
      <c r="E29" s="173"/>
      <c r="F29" s="166"/>
      <c r="G29" s="166"/>
      <c r="H29" s="166"/>
      <c r="I29" s="167"/>
      <c r="J29" s="168"/>
      <c r="K29" s="169"/>
      <c r="L29" s="169"/>
      <c r="M29" s="170"/>
      <c r="N29" s="170"/>
      <c r="O29" s="170"/>
      <c r="P29" s="196"/>
    </row>
    <row r="30" spans="1:16" s="150" customFormat="1" ht="13.5" customHeight="1">
      <c r="A30" s="124">
        <v>13</v>
      </c>
      <c r="B30" s="163" t="s">
        <v>113</v>
      </c>
      <c r="C30" s="164"/>
      <c r="D30" s="172" t="s">
        <v>126</v>
      </c>
      <c r="E30" s="172"/>
      <c r="F30" s="166"/>
      <c r="G30" s="166"/>
      <c r="H30" s="166"/>
      <c r="I30" s="167"/>
      <c r="J30" s="168"/>
      <c r="K30" s="169"/>
      <c r="L30" s="169"/>
      <c r="M30" s="170"/>
      <c r="N30" s="170"/>
      <c r="O30" s="170"/>
      <c r="P30" s="196"/>
    </row>
    <row r="31" spans="1:16" s="150" customFormat="1" ht="13.5" customHeight="1">
      <c r="A31" s="124">
        <v>14</v>
      </c>
      <c r="B31" s="163" t="s">
        <v>114</v>
      </c>
      <c r="C31" s="164"/>
      <c r="D31" s="172" t="s">
        <v>127</v>
      </c>
      <c r="E31" s="172"/>
      <c r="F31" s="166"/>
      <c r="G31" s="166"/>
      <c r="H31" s="166"/>
      <c r="I31" s="167"/>
      <c r="J31" s="168"/>
      <c r="K31" s="169"/>
      <c r="L31" s="169"/>
      <c r="M31" s="170"/>
      <c r="N31" s="170"/>
      <c r="O31" s="170"/>
      <c r="P31" s="196"/>
    </row>
    <row r="32" spans="1:16" s="150" customFormat="1" ht="13.5" customHeight="1">
      <c r="A32" s="124">
        <v>15</v>
      </c>
      <c r="B32" s="163" t="s">
        <v>115</v>
      </c>
      <c r="C32" s="164"/>
      <c r="D32" s="172" t="s">
        <v>128</v>
      </c>
      <c r="E32" s="172"/>
      <c r="F32" s="166"/>
      <c r="G32" s="166"/>
      <c r="H32" s="166"/>
      <c r="I32" s="167"/>
      <c r="J32" s="168"/>
      <c r="K32" s="169"/>
      <c r="L32" s="169"/>
      <c r="M32" s="170"/>
      <c r="N32" s="170"/>
      <c r="O32" s="170"/>
      <c r="P32" s="196"/>
    </row>
    <row r="33" spans="1:16" s="150" customFormat="1" ht="11.25" customHeight="1">
      <c r="A33" s="124"/>
      <c r="B33" s="153"/>
      <c r="C33" s="164"/>
      <c r="D33" s="166"/>
      <c r="E33" s="166"/>
      <c r="F33" s="166"/>
      <c r="G33" s="166"/>
      <c r="H33" s="166"/>
      <c r="I33" s="167"/>
      <c r="J33" s="168"/>
      <c r="K33" s="169"/>
      <c r="L33" s="169"/>
      <c r="M33" s="170"/>
      <c r="N33" s="170"/>
      <c r="O33" s="170"/>
      <c r="P33" s="196"/>
    </row>
    <row r="34" spans="1:16" s="150" customFormat="1">
      <c r="A34" s="174" t="s">
        <v>129</v>
      </c>
      <c r="B34" s="153"/>
      <c r="C34" s="164"/>
      <c r="D34" s="166"/>
      <c r="E34" s="166"/>
      <c r="F34" s="166"/>
      <c r="G34" s="166"/>
      <c r="H34" s="166"/>
      <c r="I34" s="167"/>
      <c r="J34" s="168"/>
      <c r="K34" s="169"/>
      <c r="L34" s="169"/>
      <c r="M34" s="170"/>
      <c r="N34" s="170"/>
      <c r="O34" s="170"/>
      <c r="P34" s="196"/>
    </row>
    <row r="35" spans="1:16" s="150" customFormat="1">
      <c r="A35" s="187" t="s">
        <v>146</v>
      </c>
      <c r="B35" s="153"/>
      <c r="C35" s="164"/>
      <c r="D35" s="166"/>
      <c r="E35" s="166"/>
      <c r="F35" s="166"/>
      <c r="G35" s="166"/>
      <c r="H35" s="166"/>
      <c r="I35" s="167"/>
      <c r="J35" s="168"/>
      <c r="K35" s="169"/>
      <c r="L35" s="169"/>
      <c r="M35" s="170"/>
      <c r="N35" s="170"/>
      <c r="O35" s="170"/>
      <c r="P35" s="196"/>
    </row>
    <row r="36" spans="1:16" s="150" customFormat="1">
      <c r="A36" s="187" t="s">
        <v>147</v>
      </c>
      <c r="B36" s="153"/>
      <c r="C36" s="164"/>
      <c r="D36" s="166"/>
      <c r="E36" s="166"/>
      <c r="F36" s="166"/>
      <c r="G36" s="166"/>
      <c r="H36" s="166"/>
      <c r="I36" s="167"/>
      <c r="J36" s="168"/>
      <c r="K36" s="169"/>
      <c r="L36" s="169"/>
      <c r="M36" s="170"/>
      <c r="N36" s="170"/>
      <c r="O36" s="170"/>
      <c r="P36" s="196"/>
    </row>
    <row r="37" spans="1:16" s="150" customFormat="1">
      <c r="A37" s="187" t="s">
        <v>148</v>
      </c>
      <c r="B37" s="153"/>
      <c r="C37" s="164"/>
      <c r="D37" s="166"/>
      <c r="E37" s="166"/>
      <c r="F37" s="166"/>
      <c r="G37" s="166"/>
      <c r="H37" s="166"/>
      <c r="I37" s="167"/>
      <c r="J37" s="168"/>
      <c r="K37" s="169"/>
      <c r="L37" s="169"/>
      <c r="M37" s="170"/>
      <c r="N37" s="170"/>
      <c r="O37" s="170"/>
      <c r="P37" s="196"/>
    </row>
    <row r="38" spans="1:16">
      <c r="A38" s="187" t="s">
        <v>149</v>
      </c>
      <c r="B38" s="153"/>
      <c r="C38" s="164"/>
      <c r="D38" s="166"/>
      <c r="E38" s="166"/>
      <c r="F38" s="166"/>
      <c r="G38" s="166"/>
      <c r="H38" s="166"/>
      <c r="I38" s="167"/>
      <c r="J38" s="168"/>
      <c r="K38" s="169"/>
      <c r="L38" s="169"/>
      <c r="M38" s="175"/>
      <c r="N38" s="176"/>
      <c r="O38" s="177"/>
      <c r="P38" s="197"/>
    </row>
    <row r="39" spans="1:16">
      <c r="A39" s="187" t="s">
        <v>150</v>
      </c>
      <c r="B39" s="154"/>
      <c r="C39" s="179"/>
      <c r="D39" s="179"/>
      <c r="E39" s="179"/>
      <c r="F39" s="179"/>
      <c r="G39" s="179"/>
      <c r="H39" s="179"/>
      <c r="I39" s="179"/>
      <c r="J39" s="180"/>
      <c r="K39" s="180"/>
      <c r="L39" s="180"/>
      <c r="M39" s="181"/>
      <c r="N39" s="182"/>
      <c r="O39" s="178"/>
      <c r="P39" s="197"/>
    </row>
    <row r="40" spans="1:16">
      <c r="A40" s="187" t="s">
        <v>151</v>
      </c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98"/>
    </row>
    <row r="41" spans="1:16">
      <c r="A41" s="187" t="s">
        <v>154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98"/>
    </row>
    <row r="42" spans="1:16">
      <c r="A42" s="187" t="s">
        <v>152</v>
      </c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98"/>
    </row>
    <row r="43" spans="1:16">
      <c r="A43" s="194" t="s">
        <v>153</v>
      </c>
      <c r="B43" s="179"/>
      <c r="C43" s="190"/>
      <c r="D43" s="190"/>
      <c r="E43" s="190"/>
      <c r="F43" s="190"/>
      <c r="G43" s="190"/>
      <c r="H43" s="190"/>
      <c r="I43" s="190"/>
      <c r="J43" s="180"/>
      <c r="K43" s="180"/>
      <c r="L43" s="179"/>
      <c r="M43" s="182"/>
      <c r="N43" s="182"/>
      <c r="O43" s="182"/>
      <c r="P43" s="199"/>
    </row>
    <row r="44" spans="1:16" s="150" customFormat="1" ht="15.75" thickBot="1">
      <c r="A44" s="188"/>
      <c r="B44" s="183"/>
      <c r="C44" s="184"/>
      <c r="D44" s="184"/>
      <c r="E44" s="184"/>
      <c r="F44" s="184"/>
      <c r="G44" s="184"/>
      <c r="H44" s="184"/>
      <c r="I44" s="184"/>
      <c r="J44" s="185"/>
      <c r="K44" s="185"/>
      <c r="L44" s="183"/>
      <c r="M44" s="186"/>
      <c r="N44" s="186"/>
      <c r="O44" s="186"/>
      <c r="P44" s="200"/>
    </row>
    <row r="45" spans="1:16" s="150" customFormat="1" ht="10.5" customHeight="1">
      <c r="A45" s="217" t="s">
        <v>131</v>
      </c>
      <c r="B45" s="189"/>
      <c r="C45" s="191"/>
      <c r="D45" s="191"/>
      <c r="E45" s="191"/>
      <c r="F45" s="191"/>
      <c r="G45" s="191"/>
      <c r="H45" s="191"/>
      <c r="I45" s="191"/>
      <c r="J45" s="192"/>
      <c r="K45" s="192"/>
      <c r="L45" s="189"/>
      <c r="M45" s="193"/>
      <c r="N45" s="193"/>
      <c r="O45" s="193"/>
      <c r="P45" s="218" t="s">
        <v>157</v>
      </c>
    </row>
    <row r="46" spans="1:16" s="150" customFormat="1">
      <c r="A46" s="231" t="s">
        <v>132</v>
      </c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</row>
    <row r="47" spans="1:16">
      <c r="A47" s="232" t="s">
        <v>133</v>
      </c>
      <c r="B47" s="232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</row>
  </sheetData>
  <mergeCells count="14">
    <mergeCell ref="A46:P46"/>
    <mergeCell ref="A47:P47"/>
    <mergeCell ref="A11:P11"/>
    <mergeCell ref="A2:C4"/>
    <mergeCell ref="A6:B6"/>
    <mergeCell ref="A7:B7"/>
    <mergeCell ref="A8:B8"/>
    <mergeCell ref="A9:B9"/>
    <mergeCell ref="A10:B10"/>
    <mergeCell ref="B12:C12"/>
    <mergeCell ref="B13:C13"/>
    <mergeCell ref="B14:C14"/>
    <mergeCell ref="A15:K15"/>
    <mergeCell ref="D4:O4"/>
  </mergeCells>
  <phoneticPr fontId="20" type="noConversion"/>
  <pageMargins left="0.19685039370078741" right="0.19685039370078741" top="0.19685039370078741" bottom="0.19685039370078741" header="0" footer="0"/>
  <pageSetup paperSize="9" scale="80" fitToHeight="0" orientation="landscape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view="pageBreakPreview" topLeftCell="A4" zoomScale="80" zoomScaleNormal="85" workbookViewId="0">
      <selection activeCell="E23" sqref="E23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15" ht="42" customHeight="1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1"/>
    </row>
    <row r="3" spans="1:15" s="1" customFormat="1" ht="28.5" customHeight="1">
      <c r="A3" s="223" t="s">
        <v>2</v>
      </c>
      <c r="B3" s="225" t="s">
        <v>3</v>
      </c>
      <c r="C3" s="225" t="s">
        <v>4</v>
      </c>
      <c r="D3" s="225" t="s">
        <v>5</v>
      </c>
      <c r="E3" s="225" t="s">
        <v>6</v>
      </c>
      <c r="F3" s="225" t="s">
        <v>7</v>
      </c>
      <c r="G3" s="225" t="s">
        <v>8</v>
      </c>
      <c r="H3" s="225" t="s">
        <v>9</v>
      </c>
      <c r="I3" s="225" t="s">
        <v>10</v>
      </c>
      <c r="J3" s="222" t="s">
        <v>11</v>
      </c>
      <c r="K3" s="222"/>
      <c r="L3" s="222"/>
      <c r="M3" s="222"/>
      <c r="N3" s="225" t="s">
        <v>12</v>
      </c>
      <c r="O3" s="227" t="s">
        <v>13</v>
      </c>
    </row>
    <row r="4" spans="1:15" s="1" customFormat="1" ht="42.75">
      <c r="A4" s="224"/>
      <c r="B4" s="226"/>
      <c r="C4" s="226"/>
      <c r="D4" s="226"/>
      <c r="E4" s="226"/>
      <c r="F4" s="226"/>
      <c r="G4" s="226"/>
      <c r="H4" s="226"/>
      <c r="I4" s="226"/>
      <c r="J4" s="39" t="s">
        <v>14</v>
      </c>
      <c r="K4" s="39" t="s">
        <v>15</v>
      </c>
      <c r="L4" s="39" t="s">
        <v>16</v>
      </c>
      <c r="M4" s="40" t="s">
        <v>17</v>
      </c>
      <c r="N4" s="226"/>
      <c r="O4" s="228"/>
    </row>
    <row r="5" spans="1:15" customFormat="1" ht="30" customHeight="1">
      <c r="A5" s="6" t="s">
        <v>18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1:15" s="2" customFormat="1" ht="45" customHeight="1">
      <c r="A6" s="8">
        <v>1</v>
      </c>
      <c r="B6" s="9" t="s">
        <v>42</v>
      </c>
      <c r="C6" s="229" t="s">
        <v>43</v>
      </c>
      <c r="D6" s="9" t="s">
        <v>20</v>
      </c>
      <c r="E6" s="9" t="s">
        <v>44</v>
      </c>
      <c r="F6" s="9">
        <v>44.5</v>
      </c>
      <c r="G6" s="9" t="s">
        <v>22</v>
      </c>
      <c r="H6" s="9">
        <v>6.8</v>
      </c>
      <c r="I6" s="9" t="s">
        <v>23</v>
      </c>
      <c r="J6" s="54">
        <v>11.8</v>
      </c>
      <c r="K6" s="54">
        <v>2940</v>
      </c>
      <c r="L6" s="69">
        <f>J6*K6</f>
        <v>34692</v>
      </c>
      <c r="M6" s="69">
        <v>246.1676115528</v>
      </c>
      <c r="N6" s="56"/>
      <c r="O6" s="57"/>
    </row>
    <row r="7" spans="1:15" s="2" customFormat="1" ht="45" customHeight="1">
      <c r="A7" s="18">
        <v>2</v>
      </c>
      <c r="B7" s="19">
        <v>13</v>
      </c>
      <c r="C7" s="230"/>
      <c r="D7" s="19" t="s">
        <v>20</v>
      </c>
      <c r="E7" s="19" t="s">
        <v>44</v>
      </c>
      <c r="F7" s="19">
        <v>44.5</v>
      </c>
      <c r="G7" s="19" t="s">
        <v>22</v>
      </c>
      <c r="H7" s="19">
        <v>5.5</v>
      </c>
      <c r="I7" s="19" t="s">
        <v>23</v>
      </c>
      <c r="J7" s="58">
        <v>11.8</v>
      </c>
      <c r="K7" s="58">
        <v>386</v>
      </c>
      <c r="L7" s="72">
        <f t="shared" ref="L7:L11" si="0">J7*K7</f>
        <v>4554.8</v>
      </c>
      <c r="M7" s="72">
        <v>26.396797962699999</v>
      </c>
      <c r="N7" s="60"/>
      <c r="O7" s="61"/>
    </row>
    <row r="8" spans="1:15" s="2" customFormat="1" ht="45" customHeight="1">
      <c r="A8" s="18">
        <v>3</v>
      </c>
      <c r="B8" s="19" t="s">
        <v>45</v>
      </c>
      <c r="C8" s="230" t="s">
        <v>46</v>
      </c>
      <c r="D8" s="19" t="s">
        <v>20</v>
      </c>
      <c r="E8" s="19" t="s">
        <v>44</v>
      </c>
      <c r="F8" s="19">
        <v>44.5</v>
      </c>
      <c r="G8" s="19" t="s">
        <v>22</v>
      </c>
      <c r="H8" s="19">
        <v>7.2</v>
      </c>
      <c r="I8" s="19" t="s">
        <v>23</v>
      </c>
      <c r="J8" s="58">
        <v>11.8</v>
      </c>
      <c r="K8" s="58">
        <v>446</v>
      </c>
      <c r="L8" s="72">
        <f t="shared" si="0"/>
        <v>5262.8</v>
      </c>
      <c r="M8" s="72">
        <v>39.421506523680002</v>
      </c>
      <c r="N8" s="60"/>
      <c r="O8" s="61"/>
    </row>
    <row r="9" spans="1:15" s="2" customFormat="1" ht="45" customHeight="1">
      <c r="A9" s="18">
        <v>4</v>
      </c>
      <c r="B9" s="19">
        <v>27</v>
      </c>
      <c r="C9" s="230"/>
      <c r="D9" s="19" t="s">
        <v>20</v>
      </c>
      <c r="E9" s="19" t="s">
        <v>44</v>
      </c>
      <c r="F9" s="19">
        <v>44.5</v>
      </c>
      <c r="G9" s="19" t="s">
        <v>22</v>
      </c>
      <c r="H9" s="19">
        <v>6.5</v>
      </c>
      <c r="I9" s="19" t="s">
        <v>23</v>
      </c>
      <c r="J9" s="58">
        <v>11.8</v>
      </c>
      <c r="K9" s="58">
        <v>386</v>
      </c>
      <c r="L9" s="72">
        <f t="shared" si="0"/>
        <v>4554.8</v>
      </c>
      <c r="M9" s="72">
        <v>30.963807104099999</v>
      </c>
      <c r="N9" s="60"/>
      <c r="O9" s="61"/>
    </row>
    <row r="10" spans="1:15" s="2" customFormat="1" ht="64.5" customHeight="1">
      <c r="A10" s="18">
        <v>5</v>
      </c>
      <c r="B10" s="146" t="s">
        <v>47</v>
      </c>
      <c r="C10" s="19" t="s">
        <v>48</v>
      </c>
      <c r="D10" s="19" t="s">
        <v>20</v>
      </c>
      <c r="E10" s="19" t="s">
        <v>49</v>
      </c>
      <c r="F10" s="19">
        <v>44.5</v>
      </c>
      <c r="G10" s="19" t="s">
        <v>22</v>
      </c>
      <c r="H10" s="19">
        <v>3.6</v>
      </c>
      <c r="I10" s="19" t="s">
        <v>23</v>
      </c>
      <c r="J10" s="58">
        <v>11.8</v>
      </c>
      <c r="K10" s="58">
        <v>3</v>
      </c>
      <c r="L10" s="72">
        <f t="shared" si="0"/>
        <v>35.4</v>
      </c>
      <c r="M10" s="72">
        <v>0.13618499651999999</v>
      </c>
      <c r="N10" s="60"/>
      <c r="O10" s="61"/>
    </row>
    <row r="11" spans="1:15" s="2" customFormat="1" ht="45" customHeight="1">
      <c r="A11" s="18">
        <v>6</v>
      </c>
      <c r="B11" s="13" t="s">
        <v>50</v>
      </c>
      <c r="C11" s="13" t="s">
        <v>51</v>
      </c>
      <c r="D11" s="13" t="s">
        <v>20</v>
      </c>
      <c r="E11" s="26" t="s">
        <v>49</v>
      </c>
      <c r="F11" s="26">
        <v>38</v>
      </c>
      <c r="G11" s="26" t="s">
        <v>22</v>
      </c>
      <c r="H11" s="26">
        <v>7.5</v>
      </c>
      <c r="I11" s="26" t="s">
        <v>23</v>
      </c>
      <c r="J11" s="46">
        <v>11.8</v>
      </c>
      <c r="K11" s="46">
        <v>104</v>
      </c>
      <c r="L11" s="77">
        <f t="shared" si="0"/>
        <v>1227.2</v>
      </c>
      <c r="M11" s="77">
        <v>8.0791515480000005</v>
      </c>
      <c r="N11" s="48"/>
      <c r="O11" s="49"/>
    </row>
    <row r="12" spans="1:15" s="2" customFormat="1" ht="45" customHeight="1">
      <c r="A12" s="29"/>
      <c r="B12" s="30"/>
      <c r="C12" s="30"/>
      <c r="D12" s="30"/>
      <c r="E12" s="31"/>
      <c r="F12" s="31"/>
      <c r="G12" s="31"/>
      <c r="H12" s="31"/>
      <c r="I12" s="31"/>
      <c r="J12" s="82"/>
      <c r="K12" s="82"/>
      <c r="L12" s="83"/>
      <c r="M12" s="84">
        <f>SUM(M6:M11)</f>
        <v>351.16505968780001</v>
      </c>
      <c r="N12" s="80"/>
      <c r="O12" s="85">
        <f>SUM(O6:O11)</f>
        <v>0</v>
      </c>
    </row>
    <row r="13" spans="1:15" customFormat="1" ht="32.25" customHeight="1">
      <c r="A13" s="32" t="s">
        <v>27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41"/>
    </row>
    <row r="14" spans="1:15" customFormat="1" ht="45.75" customHeight="1">
      <c r="A14" s="15">
        <v>7</v>
      </c>
      <c r="B14" s="11">
        <v>15</v>
      </c>
      <c r="C14" s="33" t="s">
        <v>52</v>
      </c>
      <c r="D14" s="11" t="s">
        <v>20</v>
      </c>
      <c r="E14" s="11" t="s">
        <v>44</v>
      </c>
      <c r="F14" s="11">
        <v>44.5</v>
      </c>
      <c r="G14" s="11" t="s">
        <v>22</v>
      </c>
      <c r="H14" s="11">
        <v>6.8</v>
      </c>
      <c r="I14" s="11" t="s">
        <v>23</v>
      </c>
      <c r="J14" s="86" t="s">
        <v>53</v>
      </c>
      <c r="K14" s="87" t="s">
        <v>30</v>
      </c>
      <c r="L14" s="88">
        <v>800</v>
      </c>
      <c r="M14" s="89">
        <v>5.056</v>
      </c>
      <c r="N14" s="90"/>
      <c r="O14" s="91"/>
    </row>
    <row r="15" spans="1:15" customFormat="1" ht="45.75" customHeight="1">
      <c r="A15" s="18">
        <v>8</v>
      </c>
      <c r="B15" s="19">
        <v>16</v>
      </c>
      <c r="C15" s="34" t="s">
        <v>52</v>
      </c>
      <c r="D15" s="19" t="s">
        <v>20</v>
      </c>
      <c r="E15" s="19" t="s">
        <v>44</v>
      </c>
      <c r="F15" s="19">
        <v>44.5</v>
      </c>
      <c r="G15" s="19" t="s">
        <v>22</v>
      </c>
      <c r="H15" s="19">
        <v>5.5</v>
      </c>
      <c r="I15" s="19" t="s">
        <v>23</v>
      </c>
      <c r="J15" s="92" t="s">
        <v>53</v>
      </c>
      <c r="K15" s="93" t="s">
        <v>30</v>
      </c>
      <c r="L15" s="93">
        <v>800</v>
      </c>
      <c r="M15" s="94">
        <f>4232.2/1000</f>
        <v>4.2321999999999997</v>
      </c>
      <c r="N15" s="95"/>
      <c r="O15" s="96"/>
    </row>
    <row r="16" spans="1:15" customFormat="1" ht="45.75" customHeight="1">
      <c r="A16" s="18">
        <v>9</v>
      </c>
      <c r="B16" s="19">
        <v>28</v>
      </c>
      <c r="C16" s="34" t="s">
        <v>54</v>
      </c>
      <c r="D16" s="19" t="s">
        <v>20</v>
      </c>
      <c r="E16" s="19" t="s">
        <v>44</v>
      </c>
      <c r="F16" s="19">
        <v>44.5</v>
      </c>
      <c r="G16" s="19" t="s">
        <v>22</v>
      </c>
      <c r="H16" s="19">
        <v>7.2</v>
      </c>
      <c r="I16" s="19" t="s">
        <v>23</v>
      </c>
      <c r="J16" s="92" t="s">
        <v>53</v>
      </c>
      <c r="K16" s="93" t="s">
        <v>30</v>
      </c>
      <c r="L16" s="93">
        <v>800</v>
      </c>
      <c r="M16" s="94">
        <f>5296/1000</f>
        <v>5.2960000000000003</v>
      </c>
      <c r="N16" s="95"/>
      <c r="O16" s="96"/>
    </row>
    <row r="17" spans="1:15" customFormat="1" ht="45.75" customHeight="1">
      <c r="A17" s="18">
        <v>10</v>
      </c>
      <c r="B17" s="19">
        <v>29</v>
      </c>
      <c r="C17" s="34" t="s">
        <v>54</v>
      </c>
      <c r="D17" s="19" t="s">
        <v>20</v>
      </c>
      <c r="E17" s="19" t="s">
        <v>44</v>
      </c>
      <c r="F17" s="19">
        <v>44.5</v>
      </c>
      <c r="G17" s="19" t="s">
        <v>22</v>
      </c>
      <c r="H17" s="19">
        <v>6.5</v>
      </c>
      <c r="I17" s="19" t="s">
        <v>23</v>
      </c>
      <c r="J17" s="92" t="s">
        <v>53</v>
      </c>
      <c r="K17" s="93" t="s">
        <v>30</v>
      </c>
      <c r="L17" s="93">
        <v>800</v>
      </c>
      <c r="M17" s="94">
        <f>4872.2/1000</f>
        <v>4.8722000000000003</v>
      </c>
      <c r="N17" s="95"/>
      <c r="O17" s="96"/>
    </row>
    <row r="18" spans="1:15" customFormat="1" ht="45.75" customHeight="1">
      <c r="A18" s="18">
        <v>11</v>
      </c>
      <c r="B18" s="19">
        <v>41</v>
      </c>
      <c r="C18" s="34" t="s">
        <v>55</v>
      </c>
      <c r="D18" s="19" t="s">
        <v>20</v>
      </c>
      <c r="E18" s="19" t="s">
        <v>49</v>
      </c>
      <c r="F18" s="19">
        <v>38</v>
      </c>
      <c r="G18" s="19" t="s">
        <v>22</v>
      </c>
      <c r="H18" s="19">
        <v>7.1</v>
      </c>
      <c r="I18" s="19" t="s">
        <v>23</v>
      </c>
      <c r="J18" s="92" t="s">
        <v>53</v>
      </c>
      <c r="K18" s="93" t="s">
        <v>30</v>
      </c>
      <c r="L18" s="93">
        <v>400</v>
      </c>
      <c r="M18" s="94">
        <f>2164.2/1000</f>
        <v>2.1642000000000001</v>
      </c>
      <c r="N18" s="95"/>
      <c r="O18" s="96"/>
    </row>
    <row r="19" spans="1:15" customFormat="1" ht="45.75" customHeight="1">
      <c r="A19" s="18">
        <v>12</v>
      </c>
      <c r="B19" s="19">
        <v>42</v>
      </c>
      <c r="C19" s="34" t="s">
        <v>55</v>
      </c>
      <c r="D19" s="19" t="s">
        <v>20</v>
      </c>
      <c r="E19" s="19" t="s">
        <v>49</v>
      </c>
      <c r="F19" s="19">
        <v>42.2</v>
      </c>
      <c r="G19" s="19" t="s">
        <v>22</v>
      </c>
      <c r="H19" s="19">
        <v>8.1</v>
      </c>
      <c r="I19" s="19" t="s">
        <v>23</v>
      </c>
      <c r="J19" s="92" t="s">
        <v>53</v>
      </c>
      <c r="K19" s="93" t="s">
        <v>30</v>
      </c>
      <c r="L19" s="93">
        <v>400</v>
      </c>
      <c r="M19" s="94">
        <f>2724/1000</f>
        <v>2.7240000000000002</v>
      </c>
      <c r="N19" s="95"/>
      <c r="O19" s="96"/>
    </row>
    <row r="20" spans="1:15" customFormat="1" ht="45.75" customHeight="1">
      <c r="A20" s="18">
        <v>13</v>
      </c>
      <c r="B20" s="19">
        <v>43</v>
      </c>
      <c r="C20" s="34" t="s">
        <v>55</v>
      </c>
      <c r="D20" s="19" t="s">
        <v>20</v>
      </c>
      <c r="E20" s="19" t="s">
        <v>49</v>
      </c>
      <c r="F20" s="19">
        <v>38</v>
      </c>
      <c r="G20" s="19" t="s">
        <v>22</v>
      </c>
      <c r="H20" s="19">
        <v>6.8</v>
      </c>
      <c r="I20" s="19" t="s">
        <v>23</v>
      </c>
      <c r="J20" s="92" t="s">
        <v>53</v>
      </c>
      <c r="K20" s="93" t="s">
        <v>30</v>
      </c>
      <c r="L20" s="93">
        <v>400</v>
      </c>
      <c r="M20" s="94">
        <v>2.093</v>
      </c>
      <c r="N20" s="95"/>
      <c r="O20" s="96"/>
    </row>
    <row r="21" spans="1:15" customFormat="1" ht="45.75" customHeight="1">
      <c r="A21" s="18">
        <v>14</v>
      </c>
      <c r="B21" s="19">
        <v>44</v>
      </c>
      <c r="C21" s="34" t="s">
        <v>55</v>
      </c>
      <c r="D21" s="19" t="s">
        <v>20</v>
      </c>
      <c r="E21" s="19" t="s">
        <v>49</v>
      </c>
      <c r="F21" s="19">
        <v>42.2</v>
      </c>
      <c r="G21" s="19" t="s">
        <v>22</v>
      </c>
      <c r="H21" s="19">
        <v>7.1</v>
      </c>
      <c r="I21" s="19" t="s">
        <v>23</v>
      </c>
      <c r="J21" s="92" t="s">
        <v>53</v>
      </c>
      <c r="K21" s="93" t="s">
        <v>30</v>
      </c>
      <c r="L21" s="93">
        <v>400</v>
      </c>
      <c r="M21" s="94">
        <v>2.4580000000000002</v>
      </c>
      <c r="N21" s="95"/>
      <c r="O21" s="96"/>
    </row>
    <row r="22" spans="1:15" s="2" customFormat="1" ht="45" customHeight="1">
      <c r="A22" s="36" t="s">
        <v>31</v>
      </c>
      <c r="B22" s="37"/>
      <c r="C22" s="37"/>
      <c r="D22" s="37"/>
      <c r="E22" s="38"/>
      <c r="F22" s="38"/>
      <c r="G22" s="38"/>
      <c r="H22" s="38"/>
      <c r="I22" s="38"/>
      <c r="J22" s="102"/>
      <c r="K22" s="102"/>
      <c r="L22" s="103"/>
      <c r="M22" s="104">
        <f>SUM(M14:M21)</f>
        <v>28.895600000000002</v>
      </c>
      <c r="N22" s="105"/>
      <c r="O22" s="106">
        <f>SUM(O14:O21)</f>
        <v>0</v>
      </c>
    </row>
  </sheetData>
  <mergeCells count="16">
    <mergeCell ref="C6:C7"/>
    <mergeCell ref="C8:C9"/>
    <mergeCell ref="D3:D4"/>
    <mergeCell ref="E3:E4"/>
    <mergeCell ref="F3:F4"/>
    <mergeCell ref="A1:O1"/>
    <mergeCell ref="A2:O2"/>
    <mergeCell ref="J3:M3"/>
    <mergeCell ref="A3:A4"/>
    <mergeCell ref="B3:B4"/>
    <mergeCell ref="C3:C4"/>
    <mergeCell ref="G3:G4"/>
    <mergeCell ref="H3:H4"/>
    <mergeCell ref="I3:I4"/>
    <mergeCell ref="N3:N4"/>
    <mergeCell ref="O3:O4"/>
  </mergeCells>
  <phoneticPr fontId="20" type="noConversion"/>
  <printOptions horizontalCentered="1"/>
  <pageMargins left="0.196850393700787" right="0.196850393700787" top="0.74803149606299202" bottom="0.74803149606299202" header="0.31496062992126" footer="0.31496062992126"/>
  <pageSetup paperSize="9" scale="50" orientation="landscape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view="pageBreakPreview" zoomScale="80" zoomScaleNormal="85" workbookViewId="0">
      <selection activeCell="E23" sqref="E23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15" ht="42" customHeight="1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1"/>
    </row>
    <row r="3" spans="1:15" s="1" customFormat="1" ht="28.5" customHeight="1">
      <c r="A3" s="223" t="s">
        <v>2</v>
      </c>
      <c r="B3" s="225" t="s">
        <v>3</v>
      </c>
      <c r="C3" s="225" t="s">
        <v>4</v>
      </c>
      <c r="D3" s="225" t="s">
        <v>5</v>
      </c>
      <c r="E3" s="225" t="s">
        <v>6</v>
      </c>
      <c r="F3" s="225" t="s">
        <v>7</v>
      </c>
      <c r="G3" s="225" t="s">
        <v>8</v>
      </c>
      <c r="H3" s="225" t="s">
        <v>9</v>
      </c>
      <c r="I3" s="225" t="s">
        <v>10</v>
      </c>
      <c r="J3" s="222" t="s">
        <v>11</v>
      </c>
      <c r="K3" s="222"/>
      <c r="L3" s="222"/>
      <c r="M3" s="222"/>
      <c r="N3" s="225" t="s">
        <v>12</v>
      </c>
      <c r="O3" s="227" t="s">
        <v>13</v>
      </c>
    </row>
    <row r="4" spans="1:15" s="1" customFormat="1" ht="42.75">
      <c r="A4" s="224"/>
      <c r="B4" s="226"/>
      <c r="C4" s="226"/>
      <c r="D4" s="226"/>
      <c r="E4" s="226"/>
      <c r="F4" s="226"/>
      <c r="G4" s="226"/>
      <c r="H4" s="226"/>
      <c r="I4" s="226"/>
      <c r="J4" s="39" t="s">
        <v>14</v>
      </c>
      <c r="K4" s="39" t="s">
        <v>15</v>
      </c>
      <c r="L4" s="39" t="s">
        <v>16</v>
      </c>
      <c r="M4" s="40" t="s">
        <v>17</v>
      </c>
      <c r="N4" s="226"/>
      <c r="O4" s="228"/>
    </row>
    <row r="5" spans="1:15" customFormat="1" ht="30" customHeight="1">
      <c r="A5" s="6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41"/>
    </row>
    <row r="6" spans="1:15" s="2" customFormat="1" ht="45" customHeight="1">
      <c r="A6" s="8">
        <v>1</v>
      </c>
      <c r="B6" s="9" t="s">
        <v>42</v>
      </c>
      <c r="C6" s="253" t="s">
        <v>43</v>
      </c>
      <c r="D6" s="11" t="s">
        <v>20</v>
      </c>
      <c r="E6" s="11" t="s">
        <v>44</v>
      </c>
      <c r="F6" s="11">
        <v>44.5</v>
      </c>
      <c r="G6" s="11" t="s">
        <v>22</v>
      </c>
      <c r="H6" s="11">
        <v>6.8</v>
      </c>
      <c r="I6" s="11" t="s">
        <v>23</v>
      </c>
      <c r="J6" s="42">
        <v>11.8</v>
      </c>
      <c r="K6" s="42">
        <v>2940</v>
      </c>
      <c r="L6" s="43">
        <f>J6*K6</f>
        <v>34692</v>
      </c>
      <c r="M6" s="43">
        <v>246.1676115528</v>
      </c>
      <c r="N6" s="44"/>
      <c r="O6" s="45"/>
    </row>
    <row r="7" spans="1:15" s="2" customFormat="1" ht="45" customHeight="1">
      <c r="A7" s="12">
        <v>2</v>
      </c>
      <c r="B7" s="13">
        <v>13</v>
      </c>
      <c r="C7" s="255"/>
      <c r="D7" s="13" t="s">
        <v>20</v>
      </c>
      <c r="E7" s="13" t="s">
        <v>44</v>
      </c>
      <c r="F7" s="13">
        <v>44.5</v>
      </c>
      <c r="G7" s="13" t="s">
        <v>22</v>
      </c>
      <c r="H7" s="13">
        <v>5.5</v>
      </c>
      <c r="I7" s="13" t="s">
        <v>23</v>
      </c>
      <c r="J7" s="46">
        <v>11.8</v>
      </c>
      <c r="K7" s="46">
        <v>386</v>
      </c>
      <c r="L7" s="47">
        <f t="shared" ref="L7:L31" si="0">J7*K7</f>
        <v>4554.8</v>
      </c>
      <c r="M7" s="47">
        <v>26.396797962699999</v>
      </c>
      <c r="N7" s="48"/>
      <c r="O7" s="49"/>
    </row>
    <row r="8" spans="1:15" s="2" customFormat="1" ht="45" customHeight="1">
      <c r="A8" s="15">
        <v>3</v>
      </c>
      <c r="B8" s="11" t="s">
        <v>45</v>
      </c>
      <c r="C8" s="253" t="s">
        <v>46</v>
      </c>
      <c r="D8" s="11" t="s">
        <v>20</v>
      </c>
      <c r="E8" s="11" t="s">
        <v>44</v>
      </c>
      <c r="F8" s="11">
        <v>44.5</v>
      </c>
      <c r="G8" s="11" t="s">
        <v>22</v>
      </c>
      <c r="H8" s="11">
        <v>7.2</v>
      </c>
      <c r="I8" s="11" t="s">
        <v>23</v>
      </c>
      <c r="J8" s="42">
        <v>11.8</v>
      </c>
      <c r="K8" s="42">
        <v>446</v>
      </c>
      <c r="L8" s="43">
        <f t="shared" si="0"/>
        <v>5262.8</v>
      </c>
      <c r="M8" s="43">
        <v>39.421506523680002</v>
      </c>
      <c r="N8" s="44"/>
      <c r="O8" s="45"/>
    </row>
    <row r="9" spans="1:15" s="2" customFormat="1" ht="45" customHeight="1">
      <c r="A9" s="16">
        <v>4</v>
      </c>
      <c r="B9" s="17">
        <v>27</v>
      </c>
      <c r="C9" s="253"/>
      <c r="D9" s="17" t="s">
        <v>20</v>
      </c>
      <c r="E9" s="17" t="s">
        <v>44</v>
      </c>
      <c r="F9" s="17">
        <v>44.5</v>
      </c>
      <c r="G9" s="17" t="s">
        <v>22</v>
      </c>
      <c r="H9" s="17">
        <v>6.5</v>
      </c>
      <c r="I9" s="17" t="s">
        <v>23</v>
      </c>
      <c r="J9" s="50">
        <v>11.8</v>
      </c>
      <c r="K9" s="50">
        <v>386</v>
      </c>
      <c r="L9" s="51">
        <f t="shared" si="0"/>
        <v>4554.8</v>
      </c>
      <c r="M9" s="51">
        <v>30.963807104099999</v>
      </c>
      <c r="N9" s="52"/>
      <c r="O9" s="53"/>
    </row>
    <row r="10" spans="1:15" s="2" customFormat="1" ht="45" customHeight="1">
      <c r="A10" s="8">
        <v>5</v>
      </c>
      <c r="B10" s="9" t="s">
        <v>56</v>
      </c>
      <c r="C10" s="252" t="s">
        <v>57</v>
      </c>
      <c r="D10" s="9" t="s">
        <v>20</v>
      </c>
      <c r="E10" s="9" t="s">
        <v>58</v>
      </c>
      <c r="F10" s="9">
        <v>44.5</v>
      </c>
      <c r="G10" s="9" t="s">
        <v>22</v>
      </c>
      <c r="H10" s="9">
        <v>6.3</v>
      </c>
      <c r="I10" s="9" t="s">
        <v>23</v>
      </c>
      <c r="J10" s="54">
        <v>6</v>
      </c>
      <c r="K10" s="54">
        <v>9</v>
      </c>
      <c r="L10" s="55">
        <f t="shared" si="0"/>
        <v>54</v>
      </c>
      <c r="M10" s="55">
        <v>0.35633415509999999</v>
      </c>
      <c r="N10" s="56"/>
      <c r="O10" s="57"/>
    </row>
    <row r="11" spans="1:15" s="2" customFormat="1" ht="45" customHeight="1">
      <c r="A11" s="18">
        <v>6</v>
      </c>
      <c r="B11" s="19" t="s">
        <v>59</v>
      </c>
      <c r="C11" s="253"/>
      <c r="D11" s="19" t="s">
        <v>20</v>
      </c>
      <c r="E11" s="19" t="s">
        <v>58</v>
      </c>
      <c r="F11" s="19">
        <v>44.5</v>
      </c>
      <c r="G11" s="19" t="s">
        <v>22</v>
      </c>
      <c r="H11" s="19">
        <v>7.2</v>
      </c>
      <c r="I11" s="19" t="s">
        <v>23</v>
      </c>
      <c r="J11" s="58">
        <v>6</v>
      </c>
      <c r="K11" s="58">
        <v>7</v>
      </c>
      <c r="L11" s="59">
        <f t="shared" si="0"/>
        <v>42</v>
      </c>
      <c r="M11" s="59">
        <v>0.3146050152</v>
      </c>
      <c r="N11" s="60"/>
      <c r="O11" s="61"/>
    </row>
    <row r="12" spans="1:15" s="2" customFormat="1" ht="45" customHeight="1">
      <c r="A12" s="18">
        <v>7</v>
      </c>
      <c r="B12" s="19" t="s">
        <v>60</v>
      </c>
      <c r="C12" s="253"/>
      <c r="D12" s="19" t="s">
        <v>20</v>
      </c>
      <c r="E12" s="19" t="s">
        <v>58</v>
      </c>
      <c r="F12" s="19">
        <v>44.5</v>
      </c>
      <c r="G12" s="19" t="s">
        <v>22</v>
      </c>
      <c r="H12" s="19">
        <v>7.6</v>
      </c>
      <c r="I12" s="19" t="s">
        <v>23</v>
      </c>
      <c r="J12" s="58">
        <v>6</v>
      </c>
      <c r="K12" s="58">
        <v>5</v>
      </c>
      <c r="L12" s="59">
        <f t="shared" si="0"/>
        <v>30</v>
      </c>
      <c r="M12" s="59">
        <v>0.236486274</v>
      </c>
      <c r="N12" s="60"/>
      <c r="O12" s="61"/>
    </row>
    <row r="13" spans="1:15" s="2" customFormat="1" ht="45" customHeight="1">
      <c r="A13" s="12">
        <v>8</v>
      </c>
      <c r="B13" s="13" t="s">
        <v>61</v>
      </c>
      <c r="C13" s="255"/>
      <c r="D13" s="13" t="s">
        <v>20</v>
      </c>
      <c r="E13" s="13" t="s">
        <v>58</v>
      </c>
      <c r="F13" s="13">
        <v>44.5</v>
      </c>
      <c r="G13" s="13" t="s">
        <v>22</v>
      </c>
      <c r="H13" s="13">
        <v>8.1999999999999993</v>
      </c>
      <c r="I13" s="13" t="s">
        <v>23</v>
      </c>
      <c r="J13" s="46">
        <v>6</v>
      </c>
      <c r="K13" s="46">
        <v>6</v>
      </c>
      <c r="L13" s="47">
        <f t="shared" si="0"/>
        <v>36</v>
      </c>
      <c r="M13" s="47">
        <v>0.30479709960000001</v>
      </c>
      <c r="N13" s="48"/>
      <c r="O13" s="49"/>
    </row>
    <row r="14" spans="1:15" s="2" customFormat="1" ht="45" customHeight="1">
      <c r="A14" s="15">
        <v>9</v>
      </c>
      <c r="B14" s="11" t="s">
        <v>62</v>
      </c>
      <c r="C14" s="253" t="s">
        <v>63</v>
      </c>
      <c r="D14" s="11" t="s">
        <v>20</v>
      </c>
      <c r="E14" s="11" t="s">
        <v>58</v>
      </c>
      <c r="F14" s="11">
        <v>38</v>
      </c>
      <c r="G14" s="11" t="s">
        <v>22</v>
      </c>
      <c r="H14" s="11">
        <v>5.0999999999999996</v>
      </c>
      <c r="I14" s="11" t="s">
        <v>23</v>
      </c>
      <c r="J14" s="42">
        <v>6</v>
      </c>
      <c r="K14" s="42">
        <v>5</v>
      </c>
      <c r="L14" s="43">
        <f t="shared" si="0"/>
        <v>30</v>
      </c>
      <c r="M14" s="43">
        <v>0.13718393100000001</v>
      </c>
      <c r="N14" s="44"/>
      <c r="O14" s="45"/>
    </row>
    <row r="15" spans="1:15" s="2" customFormat="1" ht="45" customHeight="1">
      <c r="A15" s="16">
        <v>10</v>
      </c>
      <c r="B15" s="17" t="s">
        <v>64</v>
      </c>
      <c r="C15" s="253"/>
      <c r="D15" s="17" t="s">
        <v>20</v>
      </c>
      <c r="E15" s="17" t="s">
        <v>58</v>
      </c>
      <c r="F15" s="17">
        <v>38</v>
      </c>
      <c r="G15" s="17" t="s">
        <v>22</v>
      </c>
      <c r="H15" s="17">
        <v>5.6</v>
      </c>
      <c r="I15" s="17" t="s">
        <v>23</v>
      </c>
      <c r="J15" s="50">
        <v>6</v>
      </c>
      <c r="K15" s="50">
        <v>5</v>
      </c>
      <c r="L15" s="51">
        <f t="shared" si="0"/>
        <v>30</v>
      </c>
      <c r="M15" s="51">
        <v>0.149973936</v>
      </c>
      <c r="N15" s="52"/>
      <c r="O15" s="53"/>
    </row>
    <row r="16" spans="1:15" s="2" customFormat="1" ht="45" customHeight="1">
      <c r="A16" s="8">
        <v>11</v>
      </c>
      <c r="B16" s="9">
        <v>99</v>
      </c>
      <c r="C16" s="252" t="s">
        <v>19</v>
      </c>
      <c r="D16" s="9" t="s">
        <v>20</v>
      </c>
      <c r="E16" s="9" t="s">
        <v>21</v>
      </c>
      <c r="F16" s="9">
        <v>44.5</v>
      </c>
      <c r="G16" s="9" t="s">
        <v>22</v>
      </c>
      <c r="H16" s="9">
        <v>7.1</v>
      </c>
      <c r="I16" s="9" t="s">
        <v>23</v>
      </c>
      <c r="J16" s="54">
        <v>6</v>
      </c>
      <c r="K16" s="54">
        <v>5</v>
      </c>
      <c r="L16" s="55">
        <f t="shared" si="0"/>
        <v>30</v>
      </c>
      <c r="M16" s="55">
        <v>0.22176399150000001</v>
      </c>
      <c r="N16" s="56"/>
      <c r="O16" s="57"/>
    </row>
    <row r="17" spans="1:15" s="2" customFormat="1" ht="45" customHeight="1">
      <c r="A17" s="18">
        <v>12</v>
      </c>
      <c r="B17" s="19">
        <v>100</v>
      </c>
      <c r="C17" s="253"/>
      <c r="D17" s="19" t="s">
        <v>20</v>
      </c>
      <c r="E17" s="19" t="s">
        <v>58</v>
      </c>
      <c r="F17" s="19">
        <v>44.5</v>
      </c>
      <c r="G17" s="19" t="s">
        <v>22</v>
      </c>
      <c r="H17" s="19">
        <v>7.1</v>
      </c>
      <c r="I17" s="19" t="s">
        <v>23</v>
      </c>
      <c r="J17" s="58">
        <v>6</v>
      </c>
      <c r="K17" s="58">
        <v>5</v>
      </c>
      <c r="L17" s="59">
        <f t="shared" si="0"/>
        <v>30</v>
      </c>
      <c r="M17" s="59">
        <v>0.22176399150000001</v>
      </c>
      <c r="N17" s="60"/>
      <c r="O17" s="61"/>
    </row>
    <row r="18" spans="1:15" s="2" customFormat="1" ht="45" customHeight="1">
      <c r="A18" s="18">
        <v>13</v>
      </c>
      <c r="B18" s="19">
        <v>102</v>
      </c>
      <c r="C18" s="253"/>
      <c r="D18" s="19" t="s">
        <v>20</v>
      </c>
      <c r="E18" s="19" t="s">
        <v>21</v>
      </c>
      <c r="F18" s="19">
        <v>44.5</v>
      </c>
      <c r="G18" s="19" t="s">
        <v>22</v>
      </c>
      <c r="H18" s="19">
        <v>5.5</v>
      </c>
      <c r="I18" s="19" t="s">
        <v>23</v>
      </c>
      <c r="J18" s="58">
        <v>6</v>
      </c>
      <c r="K18" s="58">
        <v>3</v>
      </c>
      <c r="L18" s="59">
        <f t="shared" si="0"/>
        <v>18</v>
      </c>
      <c r="M18" s="59">
        <v>0.10431684450000001</v>
      </c>
      <c r="N18" s="60"/>
      <c r="O18" s="61"/>
    </row>
    <row r="19" spans="1:15" s="2" customFormat="1" ht="45" customHeight="1">
      <c r="A19" s="12">
        <v>14</v>
      </c>
      <c r="B19" s="13">
        <v>103</v>
      </c>
      <c r="C19" s="255"/>
      <c r="D19" s="13" t="s">
        <v>20</v>
      </c>
      <c r="E19" s="13" t="s">
        <v>21</v>
      </c>
      <c r="F19" s="13">
        <v>44.5</v>
      </c>
      <c r="G19" s="13" t="s">
        <v>22</v>
      </c>
      <c r="H19" s="13">
        <v>5.9</v>
      </c>
      <c r="I19" s="13" t="s">
        <v>23</v>
      </c>
      <c r="J19" s="46">
        <v>6</v>
      </c>
      <c r="K19" s="46">
        <v>3</v>
      </c>
      <c r="L19" s="47">
        <f t="shared" si="0"/>
        <v>18</v>
      </c>
      <c r="M19" s="47">
        <v>0.1115700561</v>
      </c>
      <c r="N19" s="48"/>
      <c r="O19" s="49"/>
    </row>
    <row r="20" spans="1:15" s="2" customFormat="1" ht="64.5" customHeight="1">
      <c r="A20" s="20">
        <v>15</v>
      </c>
      <c r="B20" s="147" t="s">
        <v>47</v>
      </c>
      <c r="C20" s="21" t="s">
        <v>48</v>
      </c>
      <c r="D20" s="10" t="s">
        <v>20</v>
      </c>
      <c r="E20" s="10" t="s">
        <v>49</v>
      </c>
      <c r="F20" s="10">
        <v>44.5</v>
      </c>
      <c r="G20" s="10" t="s">
        <v>22</v>
      </c>
      <c r="H20" s="10">
        <v>3.6</v>
      </c>
      <c r="I20" s="10" t="s">
        <v>23</v>
      </c>
      <c r="J20" s="62">
        <v>11.8</v>
      </c>
      <c r="K20" s="62">
        <v>3</v>
      </c>
      <c r="L20" s="63">
        <f t="shared" si="0"/>
        <v>35.4</v>
      </c>
      <c r="M20" s="63">
        <v>0.13618499651999999</v>
      </c>
      <c r="N20" s="64"/>
      <c r="O20" s="65"/>
    </row>
    <row r="21" spans="1:15" s="2" customFormat="1" ht="45" customHeight="1">
      <c r="A21" s="8">
        <v>16</v>
      </c>
      <c r="B21" s="9">
        <v>111</v>
      </c>
      <c r="C21" s="252" t="s">
        <v>25</v>
      </c>
      <c r="D21" s="9" t="s">
        <v>20</v>
      </c>
      <c r="E21" s="9" t="s">
        <v>58</v>
      </c>
      <c r="F21" s="9">
        <v>63.5</v>
      </c>
      <c r="G21" s="9" t="s">
        <v>22</v>
      </c>
      <c r="H21" s="9">
        <v>3.6</v>
      </c>
      <c r="I21" s="9" t="s">
        <v>23</v>
      </c>
      <c r="J21" s="54">
        <v>6</v>
      </c>
      <c r="K21" s="54">
        <v>5</v>
      </c>
      <c r="L21" s="55">
        <f t="shared" si="0"/>
        <v>30</v>
      </c>
      <c r="M21" s="55">
        <v>0.16599076199999999</v>
      </c>
      <c r="N21" s="56"/>
      <c r="O21" s="57"/>
    </row>
    <row r="22" spans="1:15" s="2" customFormat="1" ht="45" customHeight="1">
      <c r="A22" s="22">
        <v>17</v>
      </c>
      <c r="B22" s="148" t="s">
        <v>24</v>
      </c>
      <c r="C22" s="253"/>
      <c r="D22" s="17" t="s">
        <v>20</v>
      </c>
      <c r="E22" s="17" t="s">
        <v>26</v>
      </c>
      <c r="F22" s="23">
        <v>63.5</v>
      </c>
      <c r="G22" s="23" t="s">
        <v>22</v>
      </c>
      <c r="H22" s="23">
        <v>3.6</v>
      </c>
      <c r="I22" s="23" t="s">
        <v>23</v>
      </c>
      <c r="J22" s="50">
        <v>6</v>
      </c>
      <c r="K22" s="50">
        <v>11</v>
      </c>
      <c r="L22" s="51">
        <f t="shared" si="0"/>
        <v>66</v>
      </c>
      <c r="M22" s="51">
        <v>0.36517967639999999</v>
      </c>
      <c r="N22" s="52"/>
      <c r="O22" s="53"/>
    </row>
    <row r="23" spans="1:15" s="2" customFormat="1" ht="45" customHeight="1">
      <c r="A23" s="8">
        <v>18</v>
      </c>
      <c r="B23" s="9">
        <v>141</v>
      </c>
      <c r="C23" s="229" t="s">
        <v>65</v>
      </c>
      <c r="D23" s="24" t="s">
        <v>66</v>
      </c>
      <c r="E23" s="24" t="s">
        <v>67</v>
      </c>
      <c r="F23" s="24">
        <v>273</v>
      </c>
      <c r="G23" s="24" t="s">
        <v>22</v>
      </c>
      <c r="H23" s="24">
        <v>9.27</v>
      </c>
      <c r="I23" s="24" t="s">
        <v>68</v>
      </c>
      <c r="J23" s="66">
        <v>4.75</v>
      </c>
      <c r="K23" s="67">
        <v>1</v>
      </c>
      <c r="L23" s="68">
        <v>4.75</v>
      </c>
      <c r="M23" s="69">
        <v>0.29309826324374999</v>
      </c>
      <c r="N23" s="56"/>
      <c r="O23" s="57"/>
    </row>
    <row r="24" spans="1:15" s="2" customFormat="1" ht="45" customHeight="1">
      <c r="A24" s="18"/>
      <c r="B24" s="19">
        <v>142</v>
      </c>
      <c r="C24" s="230"/>
      <c r="D24" s="25" t="s">
        <v>69</v>
      </c>
      <c r="E24" s="25" t="s">
        <v>70</v>
      </c>
      <c r="F24" s="25"/>
      <c r="G24" s="25"/>
      <c r="H24" s="25"/>
      <c r="I24" s="25"/>
      <c r="J24" s="25" t="s">
        <v>71</v>
      </c>
      <c r="K24" s="70">
        <v>3</v>
      </c>
      <c r="L24" s="71"/>
      <c r="M24" s="72"/>
      <c r="N24" s="60"/>
      <c r="O24" s="61"/>
    </row>
    <row r="25" spans="1:15" s="2" customFormat="1" ht="45" customHeight="1">
      <c r="A25" s="18">
        <v>19</v>
      </c>
      <c r="B25" s="19">
        <v>143</v>
      </c>
      <c r="C25" s="230"/>
      <c r="D25" s="25" t="s">
        <v>66</v>
      </c>
      <c r="E25" s="25" t="s">
        <v>67</v>
      </c>
      <c r="F25" s="25">
        <v>273</v>
      </c>
      <c r="G25" s="25" t="s">
        <v>22</v>
      </c>
      <c r="H25" s="25">
        <v>9.27</v>
      </c>
      <c r="I25" s="25" t="s">
        <v>68</v>
      </c>
      <c r="J25" s="73">
        <v>4.75</v>
      </c>
      <c r="K25" s="70">
        <v>1</v>
      </c>
      <c r="L25" s="71">
        <v>4.75</v>
      </c>
      <c r="M25" s="72">
        <v>0.29309826324374999</v>
      </c>
      <c r="N25" s="60"/>
      <c r="O25" s="61"/>
    </row>
    <row r="26" spans="1:15" s="2" customFormat="1" ht="45" customHeight="1">
      <c r="A26" s="18">
        <v>20</v>
      </c>
      <c r="B26" s="19">
        <v>144</v>
      </c>
      <c r="C26" s="230"/>
      <c r="D26" s="25" t="s">
        <v>66</v>
      </c>
      <c r="E26" s="25" t="s">
        <v>67</v>
      </c>
      <c r="F26" s="25">
        <v>273</v>
      </c>
      <c r="G26" s="25" t="s">
        <v>22</v>
      </c>
      <c r="H26" s="25">
        <v>9.27</v>
      </c>
      <c r="I26" s="25" t="s">
        <v>68</v>
      </c>
      <c r="J26" s="73">
        <v>4.75</v>
      </c>
      <c r="K26" s="70">
        <v>1</v>
      </c>
      <c r="L26" s="71">
        <v>4.75</v>
      </c>
      <c r="M26" s="72">
        <v>0.29309826324374999</v>
      </c>
      <c r="N26" s="60"/>
      <c r="O26" s="61"/>
    </row>
    <row r="27" spans="1:15" s="2" customFormat="1" ht="45" customHeight="1">
      <c r="A27" s="18"/>
      <c r="B27" s="19">
        <v>145</v>
      </c>
      <c r="C27" s="230"/>
      <c r="D27" s="25" t="s">
        <v>69</v>
      </c>
      <c r="E27" s="25" t="s">
        <v>70</v>
      </c>
      <c r="F27" s="25"/>
      <c r="G27" s="25"/>
      <c r="H27" s="25"/>
      <c r="I27" s="25"/>
      <c r="J27" s="25" t="s">
        <v>71</v>
      </c>
      <c r="K27" s="70">
        <v>3</v>
      </c>
      <c r="L27" s="71"/>
      <c r="M27" s="72"/>
      <c r="N27" s="60"/>
      <c r="O27" s="61"/>
    </row>
    <row r="28" spans="1:15" s="2" customFormat="1" ht="45" customHeight="1">
      <c r="A28" s="18"/>
      <c r="B28" s="19">
        <v>146</v>
      </c>
      <c r="C28" s="230"/>
      <c r="D28" s="25" t="s">
        <v>66</v>
      </c>
      <c r="E28" s="25" t="s">
        <v>70</v>
      </c>
      <c r="F28" s="25">
        <v>590</v>
      </c>
      <c r="G28" s="25" t="s">
        <v>22</v>
      </c>
      <c r="H28" s="25">
        <v>8</v>
      </c>
      <c r="I28" s="25" t="s">
        <v>68</v>
      </c>
      <c r="J28" s="70" t="s">
        <v>72</v>
      </c>
      <c r="K28" s="70">
        <v>1</v>
      </c>
      <c r="L28" s="74"/>
      <c r="M28" s="72"/>
      <c r="N28" s="60"/>
      <c r="O28" s="61"/>
    </row>
    <row r="29" spans="1:15" s="2" customFormat="1" ht="45" customHeight="1">
      <c r="A29" s="18"/>
      <c r="B29" s="19">
        <v>147</v>
      </c>
      <c r="C29" s="230"/>
      <c r="D29" s="25" t="s">
        <v>66</v>
      </c>
      <c r="E29" s="25" t="s">
        <v>70</v>
      </c>
      <c r="F29" s="25">
        <v>590</v>
      </c>
      <c r="G29" s="25" t="s">
        <v>22</v>
      </c>
      <c r="H29" s="25">
        <v>8</v>
      </c>
      <c r="I29" s="25" t="s">
        <v>68</v>
      </c>
      <c r="J29" s="70" t="s">
        <v>72</v>
      </c>
      <c r="K29" s="70">
        <v>1</v>
      </c>
      <c r="L29" s="74"/>
      <c r="M29" s="72"/>
      <c r="N29" s="60"/>
      <c r="O29" s="61"/>
    </row>
    <row r="30" spans="1:15" s="2" customFormat="1" ht="45" customHeight="1">
      <c r="A30" s="12"/>
      <c r="B30" s="13">
        <v>148</v>
      </c>
      <c r="C30" s="254"/>
      <c r="D30" s="26" t="s">
        <v>69</v>
      </c>
      <c r="E30" s="26" t="s">
        <v>70</v>
      </c>
      <c r="F30" s="26"/>
      <c r="G30" s="26"/>
      <c r="H30" s="26"/>
      <c r="I30" s="26"/>
      <c r="J30" s="26" t="s">
        <v>71</v>
      </c>
      <c r="K30" s="75">
        <v>3</v>
      </c>
      <c r="L30" s="76"/>
      <c r="M30" s="77"/>
      <c r="N30" s="48"/>
      <c r="O30" s="49"/>
    </row>
    <row r="31" spans="1:15" s="2" customFormat="1" ht="45" customHeight="1">
      <c r="A31" s="27">
        <v>21</v>
      </c>
      <c r="B31" s="14" t="s">
        <v>50</v>
      </c>
      <c r="C31" s="14" t="s">
        <v>51</v>
      </c>
      <c r="D31" s="14" t="s">
        <v>20</v>
      </c>
      <c r="E31" s="28" t="s">
        <v>49</v>
      </c>
      <c r="F31" s="28">
        <v>38</v>
      </c>
      <c r="G31" s="28" t="s">
        <v>22</v>
      </c>
      <c r="H31" s="28">
        <v>7.5</v>
      </c>
      <c r="I31" s="28" t="s">
        <v>23</v>
      </c>
      <c r="J31" s="78">
        <v>11.8</v>
      </c>
      <c r="K31" s="78">
        <v>104</v>
      </c>
      <c r="L31" s="79">
        <f t="shared" si="0"/>
        <v>1227.2</v>
      </c>
      <c r="M31" s="79">
        <v>8.0791515480000005</v>
      </c>
      <c r="N31" s="80"/>
      <c r="O31" s="81"/>
    </row>
    <row r="32" spans="1:15" s="2" customFormat="1" ht="45" customHeight="1">
      <c r="A32" s="29"/>
      <c r="B32" s="30"/>
      <c r="C32" s="30"/>
      <c r="D32" s="30"/>
      <c r="E32" s="31"/>
      <c r="F32" s="31"/>
      <c r="G32" s="31"/>
      <c r="H32" s="31"/>
      <c r="I32" s="31"/>
      <c r="J32" s="82"/>
      <c r="K32" s="82"/>
      <c r="L32" s="83"/>
      <c r="M32" s="84">
        <f>SUM(M6:M31)</f>
        <v>354.73432021043101</v>
      </c>
      <c r="N32" s="80"/>
      <c r="O32" s="85">
        <f>SUM(O6:O31)</f>
        <v>0</v>
      </c>
    </row>
    <row r="33" spans="1:15" customFormat="1" ht="32.25" customHeight="1">
      <c r="A33" s="32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41"/>
    </row>
    <row r="34" spans="1:15" customFormat="1" ht="45.75" customHeight="1">
      <c r="A34" s="15">
        <v>1</v>
      </c>
      <c r="B34" s="11">
        <v>15</v>
      </c>
      <c r="C34" s="33" t="s">
        <v>52</v>
      </c>
      <c r="D34" s="11" t="s">
        <v>20</v>
      </c>
      <c r="E34" s="11" t="s">
        <v>44</v>
      </c>
      <c r="F34" s="11">
        <v>44.5</v>
      </c>
      <c r="G34" s="11" t="s">
        <v>22</v>
      </c>
      <c r="H34" s="11">
        <v>6.8</v>
      </c>
      <c r="I34" s="11" t="s">
        <v>23</v>
      </c>
      <c r="J34" s="86" t="s">
        <v>73</v>
      </c>
      <c r="K34" s="87" t="s">
        <v>30</v>
      </c>
      <c r="L34" s="88">
        <v>800</v>
      </c>
      <c r="M34" s="89">
        <v>5.056</v>
      </c>
      <c r="N34" s="90"/>
      <c r="O34" s="91"/>
    </row>
    <row r="35" spans="1:15" customFormat="1" ht="45.75" customHeight="1">
      <c r="A35" s="18">
        <v>2</v>
      </c>
      <c r="B35" s="19">
        <v>16</v>
      </c>
      <c r="C35" s="34" t="s">
        <v>52</v>
      </c>
      <c r="D35" s="19" t="s">
        <v>20</v>
      </c>
      <c r="E35" s="19" t="s">
        <v>44</v>
      </c>
      <c r="F35" s="19">
        <v>44.5</v>
      </c>
      <c r="G35" s="19" t="s">
        <v>22</v>
      </c>
      <c r="H35" s="19">
        <v>5.5</v>
      </c>
      <c r="I35" s="19" t="s">
        <v>23</v>
      </c>
      <c r="J35" s="92" t="s">
        <v>73</v>
      </c>
      <c r="K35" s="93" t="s">
        <v>30</v>
      </c>
      <c r="L35" s="93">
        <v>800</v>
      </c>
      <c r="M35" s="94">
        <f>4232.2/1000</f>
        <v>4.2321999999999997</v>
      </c>
      <c r="N35" s="95"/>
      <c r="O35" s="96"/>
    </row>
    <row r="36" spans="1:15" customFormat="1" ht="45.75" customHeight="1">
      <c r="A36" s="18">
        <v>3</v>
      </c>
      <c r="B36" s="19">
        <v>28</v>
      </c>
      <c r="C36" s="34" t="s">
        <v>54</v>
      </c>
      <c r="D36" s="19" t="s">
        <v>20</v>
      </c>
      <c r="E36" s="19" t="s">
        <v>44</v>
      </c>
      <c r="F36" s="19">
        <v>44.5</v>
      </c>
      <c r="G36" s="19" t="s">
        <v>22</v>
      </c>
      <c r="H36" s="19">
        <v>7.2</v>
      </c>
      <c r="I36" s="19" t="s">
        <v>23</v>
      </c>
      <c r="J36" s="92" t="s">
        <v>73</v>
      </c>
      <c r="K36" s="93" t="s">
        <v>30</v>
      </c>
      <c r="L36" s="93">
        <v>800</v>
      </c>
      <c r="M36" s="94">
        <f>5296/1000</f>
        <v>5.2960000000000003</v>
      </c>
      <c r="N36" s="95"/>
      <c r="O36" s="96"/>
    </row>
    <row r="37" spans="1:15" customFormat="1" ht="45.75" customHeight="1">
      <c r="A37" s="18">
        <v>4</v>
      </c>
      <c r="B37" s="19">
        <v>29</v>
      </c>
      <c r="C37" s="34" t="s">
        <v>54</v>
      </c>
      <c r="D37" s="19" t="s">
        <v>20</v>
      </c>
      <c r="E37" s="19" t="s">
        <v>44</v>
      </c>
      <c r="F37" s="19">
        <v>44.5</v>
      </c>
      <c r="G37" s="19" t="s">
        <v>22</v>
      </c>
      <c r="H37" s="19">
        <v>6.5</v>
      </c>
      <c r="I37" s="19" t="s">
        <v>23</v>
      </c>
      <c r="J37" s="92" t="s">
        <v>73</v>
      </c>
      <c r="K37" s="93" t="s">
        <v>30</v>
      </c>
      <c r="L37" s="93">
        <v>800</v>
      </c>
      <c r="M37" s="94">
        <f>4872.2/1000</f>
        <v>4.8722000000000003</v>
      </c>
      <c r="N37" s="95"/>
      <c r="O37" s="96"/>
    </row>
    <row r="38" spans="1:15" customFormat="1" ht="45.75" customHeight="1">
      <c r="A38" s="18">
        <v>5</v>
      </c>
      <c r="B38" s="19">
        <v>41</v>
      </c>
      <c r="C38" s="34" t="s">
        <v>55</v>
      </c>
      <c r="D38" s="19" t="s">
        <v>20</v>
      </c>
      <c r="E38" s="19" t="s">
        <v>49</v>
      </c>
      <c r="F38" s="19">
        <v>38</v>
      </c>
      <c r="G38" s="19" t="s">
        <v>22</v>
      </c>
      <c r="H38" s="19">
        <v>7.1</v>
      </c>
      <c r="I38" s="19" t="s">
        <v>23</v>
      </c>
      <c r="J38" s="92" t="s">
        <v>73</v>
      </c>
      <c r="K38" s="93" t="s">
        <v>30</v>
      </c>
      <c r="L38" s="93">
        <v>400</v>
      </c>
      <c r="M38" s="94">
        <f>2164.2/1000</f>
        <v>2.1642000000000001</v>
      </c>
      <c r="N38" s="95"/>
      <c r="O38" s="96"/>
    </row>
    <row r="39" spans="1:15" customFormat="1" ht="45.75" customHeight="1">
      <c r="A39" s="18">
        <v>6</v>
      </c>
      <c r="B39" s="19">
        <v>42</v>
      </c>
      <c r="C39" s="34" t="s">
        <v>55</v>
      </c>
      <c r="D39" s="19" t="s">
        <v>20</v>
      </c>
      <c r="E39" s="19" t="s">
        <v>49</v>
      </c>
      <c r="F39" s="19">
        <v>42.2</v>
      </c>
      <c r="G39" s="19" t="s">
        <v>22</v>
      </c>
      <c r="H39" s="19">
        <v>8.1</v>
      </c>
      <c r="I39" s="19" t="s">
        <v>23</v>
      </c>
      <c r="J39" s="92" t="s">
        <v>73</v>
      </c>
      <c r="K39" s="93" t="s">
        <v>30</v>
      </c>
      <c r="L39" s="93">
        <v>400</v>
      </c>
      <c r="M39" s="94">
        <f>2724/1000</f>
        <v>2.7240000000000002</v>
      </c>
      <c r="N39" s="95"/>
      <c r="O39" s="96"/>
    </row>
    <row r="40" spans="1:15" customFormat="1" ht="45.75" customHeight="1">
      <c r="A40" s="18">
        <v>7</v>
      </c>
      <c r="B40" s="19">
        <v>43</v>
      </c>
      <c r="C40" s="34" t="s">
        <v>55</v>
      </c>
      <c r="D40" s="19" t="s">
        <v>20</v>
      </c>
      <c r="E40" s="19" t="s">
        <v>49</v>
      </c>
      <c r="F40" s="19">
        <v>38</v>
      </c>
      <c r="G40" s="19" t="s">
        <v>22</v>
      </c>
      <c r="H40" s="19">
        <v>6.8</v>
      </c>
      <c r="I40" s="19" t="s">
        <v>23</v>
      </c>
      <c r="J40" s="92" t="s">
        <v>73</v>
      </c>
      <c r="K40" s="93" t="s">
        <v>30</v>
      </c>
      <c r="L40" s="93">
        <v>400</v>
      </c>
      <c r="M40" s="94">
        <v>2.093</v>
      </c>
      <c r="N40" s="95"/>
      <c r="O40" s="96"/>
    </row>
    <row r="41" spans="1:15" customFormat="1" ht="45.75" customHeight="1">
      <c r="A41" s="18">
        <v>8</v>
      </c>
      <c r="B41" s="19">
        <v>44</v>
      </c>
      <c r="C41" s="34" t="s">
        <v>55</v>
      </c>
      <c r="D41" s="19" t="s">
        <v>20</v>
      </c>
      <c r="E41" s="19" t="s">
        <v>49</v>
      </c>
      <c r="F41" s="19">
        <v>42.2</v>
      </c>
      <c r="G41" s="19" t="s">
        <v>22</v>
      </c>
      <c r="H41" s="19">
        <v>7.1</v>
      </c>
      <c r="I41" s="19" t="s">
        <v>23</v>
      </c>
      <c r="J41" s="92" t="s">
        <v>73</v>
      </c>
      <c r="K41" s="93" t="s">
        <v>30</v>
      </c>
      <c r="L41" s="93">
        <v>400</v>
      </c>
      <c r="M41" s="94">
        <v>2.4580000000000002</v>
      </c>
      <c r="N41" s="95"/>
      <c r="O41" s="96"/>
    </row>
    <row r="42" spans="1:15" customFormat="1" ht="45.75" customHeight="1">
      <c r="A42" s="18">
        <v>9</v>
      </c>
      <c r="B42" s="19">
        <v>61</v>
      </c>
      <c r="C42" s="34" t="s">
        <v>74</v>
      </c>
      <c r="D42" s="19" t="s">
        <v>20</v>
      </c>
      <c r="E42" s="19" t="s">
        <v>58</v>
      </c>
      <c r="F42" s="19">
        <v>44.5</v>
      </c>
      <c r="G42" s="19" t="s">
        <v>22</v>
      </c>
      <c r="H42" s="19">
        <v>6.3</v>
      </c>
      <c r="I42" s="19" t="s">
        <v>23</v>
      </c>
      <c r="J42" s="92" t="s">
        <v>29</v>
      </c>
      <c r="K42" s="93" t="s">
        <v>30</v>
      </c>
      <c r="L42" s="93">
        <v>500</v>
      </c>
      <c r="M42" s="94">
        <f>2970/1000</f>
        <v>2.97</v>
      </c>
      <c r="N42" s="95"/>
      <c r="O42" s="96"/>
    </row>
    <row r="43" spans="1:15" customFormat="1" ht="45.75" customHeight="1">
      <c r="A43" s="18">
        <v>10</v>
      </c>
      <c r="B43" s="19">
        <v>62</v>
      </c>
      <c r="C43" s="34" t="s">
        <v>74</v>
      </c>
      <c r="D43" s="19" t="s">
        <v>20</v>
      </c>
      <c r="E43" s="19" t="s">
        <v>58</v>
      </c>
      <c r="F43" s="19">
        <v>44.5</v>
      </c>
      <c r="G43" s="19" t="s">
        <v>22</v>
      </c>
      <c r="H43" s="19">
        <v>7.2</v>
      </c>
      <c r="I43" s="19" t="s">
        <v>23</v>
      </c>
      <c r="J43" s="92" t="s">
        <v>29</v>
      </c>
      <c r="K43" s="93" t="s">
        <v>30</v>
      </c>
      <c r="L43" s="93">
        <v>500</v>
      </c>
      <c r="M43" s="94">
        <f>3310/1000</f>
        <v>3.31</v>
      </c>
      <c r="N43" s="95"/>
      <c r="O43" s="96"/>
    </row>
    <row r="44" spans="1:15" customFormat="1" ht="45.75" customHeight="1">
      <c r="A44" s="18">
        <v>11</v>
      </c>
      <c r="B44" s="19">
        <v>63</v>
      </c>
      <c r="C44" s="34" t="s">
        <v>74</v>
      </c>
      <c r="D44" s="19" t="s">
        <v>20</v>
      </c>
      <c r="E44" s="19" t="s">
        <v>58</v>
      </c>
      <c r="F44" s="19">
        <v>44.5</v>
      </c>
      <c r="G44" s="19" t="s">
        <v>22</v>
      </c>
      <c r="H44" s="19">
        <v>7.6</v>
      </c>
      <c r="I44" s="19" t="s">
        <v>23</v>
      </c>
      <c r="J44" s="92" t="s">
        <v>29</v>
      </c>
      <c r="K44" s="93" t="s">
        <v>30</v>
      </c>
      <c r="L44" s="93">
        <v>500</v>
      </c>
      <c r="M44" s="94">
        <v>3.4580000000000002</v>
      </c>
      <c r="N44" s="95"/>
      <c r="O44" s="96"/>
    </row>
    <row r="45" spans="1:15" customFormat="1" ht="45.75" customHeight="1">
      <c r="A45" s="18">
        <v>12</v>
      </c>
      <c r="B45" s="19">
        <v>64</v>
      </c>
      <c r="C45" s="34" t="s">
        <v>74</v>
      </c>
      <c r="D45" s="19" t="s">
        <v>20</v>
      </c>
      <c r="E45" s="19" t="s">
        <v>58</v>
      </c>
      <c r="F45" s="19">
        <v>44.5</v>
      </c>
      <c r="G45" s="19" t="s">
        <v>22</v>
      </c>
      <c r="H45" s="19">
        <v>8.1999999999999993</v>
      </c>
      <c r="I45" s="19" t="s">
        <v>23</v>
      </c>
      <c r="J45" s="92" t="s">
        <v>29</v>
      </c>
      <c r="K45" s="93" t="s">
        <v>30</v>
      </c>
      <c r="L45" s="93">
        <v>500</v>
      </c>
      <c r="M45" s="94">
        <v>3.6709999999999998</v>
      </c>
      <c r="N45" s="95"/>
      <c r="O45" s="96"/>
    </row>
    <row r="46" spans="1:15" customFormat="1" ht="45.75" customHeight="1">
      <c r="A46" s="18">
        <v>13</v>
      </c>
      <c r="B46" s="19">
        <v>81</v>
      </c>
      <c r="C46" s="34" t="s">
        <v>75</v>
      </c>
      <c r="D46" s="19" t="s">
        <v>20</v>
      </c>
      <c r="E46" s="19" t="s">
        <v>58</v>
      </c>
      <c r="F46" s="19">
        <v>38</v>
      </c>
      <c r="G46" s="19" t="s">
        <v>22</v>
      </c>
      <c r="H46" s="19">
        <v>4.5999999999999996</v>
      </c>
      <c r="I46" s="19" t="s">
        <v>23</v>
      </c>
      <c r="J46" s="92" t="s">
        <v>29</v>
      </c>
      <c r="K46" s="93" t="s">
        <v>30</v>
      </c>
      <c r="L46" s="93">
        <v>100</v>
      </c>
      <c r="M46" s="94">
        <f>379/1000</f>
        <v>0.379</v>
      </c>
      <c r="N46" s="95"/>
      <c r="O46" s="96"/>
    </row>
    <row r="47" spans="1:15" customFormat="1" ht="45.75" customHeight="1">
      <c r="A47" s="18">
        <v>14</v>
      </c>
      <c r="B47" s="19">
        <v>82</v>
      </c>
      <c r="C47" s="34" t="s">
        <v>75</v>
      </c>
      <c r="D47" s="19" t="s">
        <v>20</v>
      </c>
      <c r="E47" s="19" t="s">
        <v>58</v>
      </c>
      <c r="F47" s="19">
        <v>38</v>
      </c>
      <c r="G47" s="19" t="s">
        <v>22</v>
      </c>
      <c r="H47" s="19">
        <v>5.0999999999999996</v>
      </c>
      <c r="I47" s="19" t="s">
        <v>23</v>
      </c>
      <c r="J47" s="92" t="s">
        <v>29</v>
      </c>
      <c r="K47" s="93" t="s">
        <v>30</v>
      </c>
      <c r="L47" s="93">
        <v>100</v>
      </c>
      <c r="M47" s="94">
        <f>414/1000</f>
        <v>0.41399999999999998</v>
      </c>
      <c r="N47" s="95"/>
      <c r="O47" s="96"/>
    </row>
    <row r="48" spans="1:15" customFormat="1" ht="45.75" customHeight="1">
      <c r="A48" s="18">
        <v>15</v>
      </c>
      <c r="B48" s="19">
        <v>83</v>
      </c>
      <c r="C48" s="34" t="s">
        <v>75</v>
      </c>
      <c r="D48" s="19" t="s">
        <v>20</v>
      </c>
      <c r="E48" s="19" t="s">
        <v>58</v>
      </c>
      <c r="F48" s="19">
        <v>38</v>
      </c>
      <c r="G48" s="19" t="s">
        <v>22</v>
      </c>
      <c r="H48" s="19">
        <v>5.6</v>
      </c>
      <c r="I48" s="19" t="s">
        <v>23</v>
      </c>
      <c r="J48" s="92" t="s">
        <v>29</v>
      </c>
      <c r="K48" s="93" t="s">
        <v>30</v>
      </c>
      <c r="L48" s="93">
        <v>100</v>
      </c>
      <c r="M48" s="94">
        <f>447/1000</f>
        <v>0.44700000000000001</v>
      </c>
      <c r="N48" s="95"/>
      <c r="O48" s="96"/>
    </row>
    <row r="49" spans="1:15" customFormat="1" ht="45.75" customHeight="1">
      <c r="A49" s="18">
        <v>16</v>
      </c>
      <c r="B49" s="19">
        <v>91</v>
      </c>
      <c r="C49" s="34" t="s">
        <v>28</v>
      </c>
      <c r="D49" s="19" t="s">
        <v>20</v>
      </c>
      <c r="E49" s="19" t="s">
        <v>58</v>
      </c>
      <c r="F49" s="19">
        <v>44.5</v>
      </c>
      <c r="G49" s="19" t="s">
        <v>22</v>
      </c>
      <c r="H49" s="19">
        <v>6.7</v>
      </c>
      <c r="I49" s="19" t="s">
        <v>23</v>
      </c>
      <c r="J49" s="92" t="s">
        <v>29</v>
      </c>
      <c r="K49" s="93" t="s">
        <v>30</v>
      </c>
      <c r="L49" s="93">
        <v>100</v>
      </c>
      <c r="M49" s="94">
        <f>625/1000</f>
        <v>0.625</v>
      </c>
      <c r="N49" s="95"/>
      <c r="O49" s="96"/>
    </row>
    <row r="50" spans="1:15" customFormat="1" ht="45.75" customHeight="1">
      <c r="A50" s="18">
        <v>17</v>
      </c>
      <c r="B50" s="19">
        <v>92</v>
      </c>
      <c r="C50" s="34" t="s">
        <v>28</v>
      </c>
      <c r="D50" s="19" t="s">
        <v>20</v>
      </c>
      <c r="E50" s="19" t="s">
        <v>58</v>
      </c>
      <c r="F50" s="19">
        <v>44.5</v>
      </c>
      <c r="G50" s="19" t="s">
        <v>22</v>
      </c>
      <c r="H50" s="19">
        <v>7.1</v>
      </c>
      <c r="I50" s="19" t="s">
        <v>23</v>
      </c>
      <c r="J50" s="92" t="s">
        <v>29</v>
      </c>
      <c r="K50" s="93" t="s">
        <v>30</v>
      </c>
      <c r="L50" s="93">
        <v>100</v>
      </c>
      <c r="M50" s="94">
        <v>0.65500000000000003</v>
      </c>
      <c r="N50" s="95"/>
      <c r="O50" s="96"/>
    </row>
    <row r="51" spans="1:15" customFormat="1" ht="45.75" customHeight="1">
      <c r="A51" s="18">
        <v>18</v>
      </c>
      <c r="B51" s="19">
        <v>93</v>
      </c>
      <c r="C51" s="34" t="s">
        <v>28</v>
      </c>
      <c r="D51" s="19" t="s">
        <v>20</v>
      </c>
      <c r="E51" s="19" t="s">
        <v>21</v>
      </c>
      <c r="F51" s="19">
        <v>44.5</v>
      </c>
      <c r="G51" s="19" t="s">
        <v>22</v>
      </c>
      <c r="H51" s="19">
        <v>7.1</v>
      </c>
      <c r="I51" s="19" t="s">
        <v>23</v>
      </c>
      <c r="J51" s="92" t="s">
        <v>29</v>
      </c>
      <c r="K51" s="93" t="s">
        <v>30</v>
      </c>
      <c r="L51" s="93">
        <v>100</v>
      </c>
      <c r="M51" s="94">
        <v>0.65500000000000003</v>
      </c>
      <c r="N51" s="95"/>
      <c r="O51" s="96"/>
    </row>
    <row r="52" spans="1:15" customFormat="1" ht="45.75" customHeight="1">
      <c r="A52" s="18">
        <v>19</v>
      </c>
      <c r="B52" s="19">
        <v>94</v>
      </c>
      <c r="C52" s="34" t="s">
        <v>28</v>
      </c>
      <c r="D52" s="19" t="s">
        <v>20</v>
      </c>
      <c r="E52" s="19" t="s">
        <v>21</v>
      </c>
      <c r="F52" s="19">
        <v>44.5</v>
      </c>
      <c r="G52" s="19" t="s">
        <v>22</v>
      </c>
      <c r="H52" s="19">
        <v>5.5</v>
      </c>
      <c r="I52" s="19" t="s">
        <v>23</v>
      </c>
      <c r="J52" s="92" t="s">
        <v>29</v>
      </c>
      <c r="K52" s="93" t="s">
        <v>30</v>
      </c>
      <c r="L52" s="93">
        <v>100</v>
      </c>
      <c r="M52" s="94">
        <v>0.52900000000000003</v>
      </c>
      <c r="N52" s="95"/>
      <c r="O52" s="96"/>
    </row>
    <row r="53" spans="1:15" customFormat="1" ht="45.75" customHeight="1">
      <c r="A53" s="18">
        <v>20</v>
      </c>
      <c r="B53" s="19">
        <v>95</v>
      </c>
      <c r="C53" s="34" t="s">
        <v>28</v>
      </c>
      <c r="D53" s="19" t="s">
        <v>20</v>
      </c>
      <c r="E53" s="19" t="s">
        <v>26</v>
      </c>
      <c r="F53" s="19">
        <v>44.5</v>
      </c>
      <c r="G53" s="19" t="s">
        <v>22</v>
      </c>
      <c r="H53" s="19">
        <v>5.7</v>
      </c>
      <c r="I53" s="19" t="s">
        <v>23</v>
      </c>
      <c r="J53" s="92" t="s">
        <v>29</v>
      </c>
      <c r="K53" s="93" t="s">
        <v>30</v>
      </c>
      <c r="L53" s="93">
        <v>100</v>
      </c>
      <c r="M53" s="94">
        <v>0.54500000000000004</v>
      </c>
      <c r="N53" s="95"/>
      <c r="O53" s="96"/>
    </row>
    <row r="54" spans="1:15" customFormat="1" ht="45.75" customHeight="1">
      <c r="A54" s="18">
        <v>21</v>
      </c>
      <c r="B54" s="19">
        <v>96</v>
      </c>
      <c r="C54" s="34" t="s">
        <v>28</v>
      </c>
      <c r="D54" s="19" t="s">
        <v>20</v>
      </c>
      <c r="E54" s="19" t="s">
        <v>26</v>
      </c>
      <c r="F54" s="19">
        <v>44.5</v>
      </c>
      <c r="G54" s="19" t="s">
        <v>22</v>
      </c>
      <c r="H54" s="19">
        <v>6.1</v>
      </c>
      <c r="I54" s="19" t="s">
        <v>23</v>
      </c>
      <c r="J54" s="92" t="s">
        <v>29</v>
      </c>
      <c r="K54" s="93" t="s">
        <v>30</v>
      </c>
      <c r="L54" s="93">
        <v>100</v>
      </c>
      <c r="M54" s="94">
        <v>0.57799999999999996</v>
      </c>
      <c r="N54" s="95"/>
      <c r="O54" s="96"/>
    </row>
    <row r="55" spans="1:15" customFormat="1" ht="45.75" customHeight="1">
      <c r="A55" s="16">
        <v>22</v>
      </c>
      <c r="B55" s="17">
        <v>97</v>
      </c>
      <c r="C55" s="35" t="s">
        <v>28</v>
      </c>
      <c r="D55" s="17" t="s">
        <v>20</v>
      </c>
      <c r="E55" s="17" t="s">
        <v>21</v>
      </c>
      <c r="F55" s="17">
        <v>44.5</v>
      </c>
      <c r="G55" s="17" t="s">
        <v>22</v>
      </c>
      <c r="H55" s="17">
        <v>5.9</v>
      </c>
      <c r="I55" s="17" t="s">
        <v>23</v>
      </c>
      <c r="J55" s="97" t="s">
        <v>29</v>
      </c>
      <c r="K55" s="87" t="s">
        <v>30</v>
      </c>
      <c r="L55" s="98">
        <v>100</v>
      </c>
      <c r="M55" s="99">
        <v>0.56200000000000006</v>
      </c>
      <c r="N55" s="100"/>
      <c r="O55" s="101"/>
    </row>
    <row r="56" spans="1:15" s="2" customFormat="1" ht="45" customHeight="1">
      <c r="A56" s="36" t="s">
        <v>31</v>
      </c>
      <c r="B56" s="37"/>
      <c r="C56" s="37"/>
      <c r="D56" s="37"/>
      <c r="E56" s="38"/>
      <c r="F56" s="38"/>
      <c r="G56" s="38"/>
      <c r="H56" s="38"/>
      <c r="I56" s="38"/>
      <c r="J56" s="102"/>
      <c r="K56" s="102"/>
      <c r="L56" s="103"/>
      <c r="M56" s="104">
        <f>SUM(M34:M55)</f>
        <v>47.693600000000004</v>
      </c>
      <c r="N56" s="105"/>
      <c r="O56" s="106">
        <f>SUM(O34:O55)</f>
        <v>0</v>
      </c>
    </row>
  </sheetData>
  <mergeCells count="21">
    <mergeCell ref="C21:C22"/>
    <mergeCell ref="C23:C30"/>
    <mergeCell ref="D3:D4"/>
    <mergeCell ref="E3:E4"/>
    <mergeCell ref="F3:F4"/>
    <mergeCell ref="C6:C7"/>
    <mergeCell ref="C8:C9"/>
    <mergeCell ref="C10:C13"/>
    <mergeCell ref="C14:C15"/>
    <mergeCell ref="C16:C19"/>
    <mergeCell ref="A1:O1"/>
    <mergeCell ref="A2:O2"/>
    <mergeCell ref="J3:M3"/>
    <mergeCell ref="A3:A4"/>
    <mergeCell ref="B3:B4"/>
    <mergeCell ref="C3:C4"/>
    <mergeCell ref="G3:G4"/>
    <mergeCell ref="H3:H4"/>
    <mergeCell ref="I3:I4"/>
    <mergeCell ref="N3:N4"/>
    <mergeCell ref="O3:O4"/>
  </mergeCells>
  <phoneticPr fontId="20" type="noConversion"/>
  <printOptions horizontalCentered="1"/>
  <pageMargins left="0.196850393700787" right="0.196850393700787" top="0.74803149606299202" bottom="0.74803149606299202" header="0.31496062992126" footer="0.31496062992126"/>
  <pageSetup paperSize="9" scale="55" fitToHeight="2" orientation="landscape" r:id="rId1"/>
  <headerFooter>
    <oddFooter>&amp;CPage &amp;P of &amp;N</oddFooter>
  </headerFooter>
  <rowBreaks count="1" manualBreakCount="1">
    <brk id="3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Solapur_SS</vt:lpstr>
      <vt:lpstr>RFQ</vt:lpstr>
      <vt:lpstr>Solapur_CS &amp; T12</vt:lpstr>
      <vt:lpstr>Solapur_BOM</vt:lpstr>
      <vt:lpstr>RFQ!Print_Area</vt:lpstr>
      <vt:lpstr>Solapur_BOM!Print_Area</vt:lpstr>
      <vt:lpstr>'Solapur_CS &amp; T12'!Print_Area</vt:lpstr>
      <vt:lpstr>Solapur_SS!Print_Area</vt:lpstr>
      <vt:lpstr>RFQ!Print_Titles</vt:lpstr>
      <vt:lpstr>Solapur_BOM!Print_Titles</vt:lpstr>
      <vt:lpstr>'Solapur_CS &amp; T12'!Print_Titles</vt:lpstr>
      <vt:lpstr>Solapur_SS!Print_Titles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Quatation Sheet</dc:subject>
  <cp:lastModifiedBy>UTTAM</cp:lastModifiedBy>
  <cp:lastPrinted>2025-09-24T14:44:37Z</cp:lastPrinted>
  <dcterms:created xsi:type="dcterms:W3CDTF">2014-04-03T04:06:00Z</dcterms:created>
  <dcterms:modified xsi:type="dcterms:W3CDTF">2025-10-03T10:44:55Z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35B320D973554876B172F995D9008FFD_13</vt:lpwstr>
  </property>
</Properties>
</file>